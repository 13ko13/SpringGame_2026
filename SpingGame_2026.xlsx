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SpringGame_2026\"/>
    </mc:Choice>
  </mc:AlternateContent>
  <xr:revisionPtr revIDLastSave="0" documentId="13_ncr:1_{8BE663FE-17EE-4D21-BBF2-D886106072BD}" xr6:coauthVersionLast="47" xr6:coauthVersionMax="47" xr10:uidLastSave="{00000000-0000-0000-0000-000000000000}"/>
  <bookViews>
    <workbookView xWindow="-120" yWindow="-120" windowWidth="29040" windowHeight="15720" tabRatio="460" xr2:uid="{FD95E878-465A-49E4-912E-7153328F4E6C}"/>
  </bookViews>
  <sheets>
    <sheet name="コスト表" sheetId="1" r:id="rId1"/>
    <sheet name="カレンダー" sheetId="3" r:id="rId2"/>
    <sheet name="クラス図" sheetId="5" r:id="rId3"/>
    <sheet name="クラス詳細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J23" i="1"/>
  <c r="B15" i="3"/>
  <c r="A15" i="3"/>
  <c r="C14" i="3"/>
  <c r="D14" i="3"/>
  <c r="E14" i="3"/>
  <c r="F14" i="3"/>
  <c r="G14" i="3"/>
  <c r="C13" i="3"/>
  <c r="D13" i="3"/>
  <c r="E13" i="3"/>
  <c r="F13" i="3"/>
  <c r="G13" i="3" s="1"/>
  <c r="A14" i="3" s="1"/>
  <c r="B14" i="3" s="1"/>
  <c r="A13" i="3"/>
  <c r="B13" i="3" s="1"/>
  <c r="C12" i="3"/>
  <c r="D12" i="3" s="1"/>
  <c r="E12" i="3" s="1"/>
  <c r="F12" i="3" s="1"/>
  <c r="G12" i="3" s="1"/>
  <c r="B12" i="3"/>
  <c r="A12" i="3"/>
  <c r="C11" i="3"/>
  <c r="D11" i="3" s="1"/>
  <c r="E11" i="3" s="1"/>
  <c r="F11" i="3" s="1"/>
  <c r="G11" i="3" s="1"/>
  <c r="B11" i="3"/>
  <c r="C8" i="3"/>
  <c r="B8" i="3"/>
  <c r="C7" i="3"/>
  <c r="D7" i="3"/>
  <c r="E7" i="3"/>
  <c r="F7" i="3"/>
  <c r="G7" i="3" s="1"/>
  <c r="A8" i="3" s="1"/>
  <c r="B7" i="3"/>
  <c r="A7" i="3"/>
  <c r="C6" i="3"/>
  <c r="D6" i="3" s="1"/>
  <c r="E6" i="3" s="1"/>
  <c r="F6" i="3" s="1"/>
  <c r="G6" i="3" s="1"/>
  <c r="B6" i="3"/>
  <c r="A6" i="3"/>
  <c r="C4" i="3"/>
  <c r="D4" i="3"/>
  <c r="E4" i="3"/>
  <c r="F4" i="3"/>
  <c r="G4" i="3" s="1"/>
  <c r="A5" i="3" s="1"/>
  <c r="B5" i="3" s="1"/>
  <c r="C5" i="3" s="1"/>
  <c r="D5" i="3" s="1"/>
  <c r="E5" i="3" s="1"/>
  <c r="F5" i="3" s="1"/>
  <c r="G5" i="3" s="1"/>
  <c r="B4" i="3"/>
  <c r="J4" i="1"/>
  <c r="J6" i="1" s="1"/>
  <c r="J20" i="1"/>
  <c r="J21" i="1" s="1"/>
  <c r="J14" i="1"/>
  <c r="J15" i="1" s="1"/>
  <c r="J10" i="1"/>
  <c r="J11" i="1" s="1"/>
  <c r="G22" i="1"/>
  <c r="G23" i="1"/>
  <c r="G24" i="1"/>
  <c r="G25" i="1"/>
  <c r="G26" i="1"/>
  <c r="G27" i="1"/>
  <c r="G5" i="1"/>
  <c r="G6" i="1"/>
  <c r="G7" i="1"/>
  <c r="G8" i="1"/>
  <c r="G9" i="1"/>
  <c r="G10" i="1"/>
  <c r="G11" i="1"/>
  <c r="G12" i="1"/>
  <c r="G13" i="1"/>
  <c r="G14" i="1"/>
  <c r="G15" i="1"/>
  <c r="G16" i="1"/>
  <c r="G19" i="1"/>
  <c r="G20" i="1"/>
  <c r="G21" i="1"/>
  <c r="G4" i="1"/>
  <c r="J24" i="1" l="1"/>
  <c r="J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F7C0D7-83F4-4B38-A91E-9BE06BB0A7E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<sst xmlns="http://schemas.openxmlformats.org/spreadsheetml/2006/main" count="136" uniqueCount="79">
  <si>
    <t>2026年春作品コスト表</t>
    <rPh sb="4" eb="5">
      <t>ネン</t>
    </rPh>
    <rPh sb="5" eb="8">
      <t>ハルサクヒン</t>
    </rPh>
    <rPh sb="11" eb="12">
      <t>ヒョウ</t>
    </rPh>
    <phoneticPr fontId="1"/>
  </si>
  <si>
    <t>概要</t>
    <rPh sb="0" eb="2">
      <t>ガイヨウ</t>
    </rPh>
    <phoneticPr fontId="1"/>
  </si>
  <si>
    <t>プレイヤー</t>
    <phoneticPr fontId="1"/>
  </si>
  <si>
    <t>詳細</t>
    <rPh sb="0" eb="2">
      <t>ショウサイ</t>
    </rPh>
    <phoneticPr fontId="1"/>
  </si>
  <si>
    <t>見積コスト</t>
    <rPh sb="0" eb="2">
      <t>ミツモリ</t>
    </rPh>
    <phoneticPr fontId="1"/>
  </si>
  <si>
    <t>実コスト</t>
    <rPh sb="0" eb="1">
      <t>ジツ</t>
    </rPh>
    <phoneticPr fontId="1"/>
  </si>
  <si>
    <t>ステータス</t>
    <phoneticPr fontId="1"/>
  </si>
  <si>
    <t>移動</t>
    <rPh sb="0" eb="2">
      <t>イドウ</t>
    </rPh>
    <phoneticPr fontId="1"/>
  </si>
  <si>
    <t>殴る</t>
    <rPh sb="0" eb="1">
      <t>ナグ</t>
    </rPh>
    <phoneticPr fontId="1"/>
  </si>
  <si>
    <t>カメラ</t>
    <phoneticPr fontId="1"/>
  </si>
  <si>
    <t>回転</t>
    <rPh sb="0" eb="2">
      <t>カイテン</t>
    </rPh>
    <phoneticPr fontId="1"/>
  </si>
  <si>
    <t>敵</t>
    <rPh sb="0" eb="1">
      <t>テキ</t>
    </rPh>
    <phoneticPr fontId="1"/>
  </si>
  <si>
    <t>生成</t>
    <rPh sb="0" eb="2">
      <t>セイセイ</t>
    </rPh>
    <phoneticPr fontId="1"/>
  </si>
  <si>
    <t>死亡</t>
    <rPh sb="0" eb="2">
      <t>シボウ</t>
    </rPh>
    <phoneticPr fontId="1"/>
  </si>
  <si>
    <t>被弾</t>
    <rPh sb="0" eb="2">
      <t>ヒダン</t>
    </rPh>
    <phoneticPr fontId="1"/>
  </si>
  <si>
    <t>平面に立つ</t>
    <rPh sb="0" eb="2">
      <t>ヘイメン</t>
    </rPh>
    <rPh sb="3" eb="4">
      <t>タ</t>
    </rPh>
    <phoneticPr fontId="1"/>
  </si>
  <si>
    <t>優先度</t>
    <rPh sb="0" eb="3">
      <t>ユウセンド</t>
    </rPh>
    <phoneticPr fontId="1"/>
  </si>
  <si>
    <t>S</t>
    <phoneticPr fontId="1"/>
  </si>
  <si>
    <t>A</t>
    <phoneticPr fontId="1"/>
  </si>
  <si>
    <t>当たり判定</t>
    <rPh sb="0" eb="1">
      <t>ア</t>
    </rPh>
    <rPh sb="3" eb="5">
      <t>ハンテイ</t>
    </rPh>
    <phoneticPr fontId="1"/>
  </si>
  <si>
    <t>エフェクト</t>
    <phoneticPr fontId="1"/>
  </si>
  <si>
    <t>再生</t>
    <rPh sb="0" eb="2">
      <t>サイセイ</t>
    </rPh>
    <phoneticPr fontId="1"/>
  </si>
  <si>
    <t>停止</t>
    <rPh sb="0" eb="2">
      <t>テイシ</t>
    </rPh>
    <phoneticPr fontId="1"/>
  </si>
  <si>
    <t>削除</t>
    <rPh sb="0" eb="2">
      <t>サクジョ</t>
    </rPh>
    <phoneticPr fontId="1"/>
  </si>
  <si>
    <t>B</t>
    <phoneticPr fontId="1"/>
  </si>
  <si>
    <t>アニメーション</t>
    <phoneticPr fontId="1"/>
  </si>
  <si>
    <t>プレイヤーの殴り</t>
    <rPh sb="6" eb="7">
      <t>ナグ</t>
    </rPh>
    <phoneticPr fontId="1"/>
  </si>
  <si>
    <t>敵の被弾</t>
    <rPh sb="0" eb="1">
      <t>テキ</t>
    </rPh>
    <rPh sb="2" eb="4">
      <t>ヒダン</t>
    </rPh>
    <phoneticPr fontId="1"/>
  </si>
  <si>
    <t>敵の死亡</t>
    <rPh sb="0" eb="1">
      <t>テキ</t>
    </rPh>
    <rPh sb="2" eb="4">
      <t>シボウ</t>
    </rPh>
    <phoneticPr fontId="1"/>
  </si>
  <si>
    <t>総コスト数</t>
    <rPh sb="0" eb="1">
      <t>ソウ</t>
    </rPh>
    <rPh sb="4" eb="5">
      <t>スウ</t>
    </rPh>
    <phoneticPr fontId="1"/>
  </si>
  <si>
    <t>時間</t>
    <rPh sb="0" eb="2">
      <t>ジカン</t>
    </rPh>
    <phoneticPr fontId="1"/>
  </si>
  <si>
    <t>バージョン</t>
    <phoneticPr fontId="1"/>
  </si>
  <si>
    <t>残りコスト数</t>
    <rPh sb="0" eb="1">
      <t>ノコ</t>
    </rPh>
    <rPh sb="5" eb="6">
      <t>スウ</t>
    </rPh>
    <phoneticPr fontId="1"/>
  </si>
  <si>
    <t>プロト</t>
    <phoneticPr fontId="1"/>
  </si>
  <si>
    <t>アルファ</t>
    <phoneticPr fontId="1"/>
  </si>
  <si>
    <t>ベータ</t>
    <phoneticPr fontId="1"/>
  </si>
  <si>
    <t>バージョンごと</t>
    <phoneticPr fontId="1"/>
  </si>
  <si>
    <t>総コスト</t>
    <rPh sb="0" eb="1">
      <t>ソウ</t>
    </rPh>
    <phoneticPr fontId="1"/>
  </si>
  <si>
    <t>残りコスト</t>
    <rPh sb="0" eb="1">
      <t>ノコ</t>
    </rPh>
    <phoneticPr fontId="1"/>
  </si>
  <si>
    <t>素材</t>
    <rPh sb="0" eb="2">
      <t>ソザイ</t>
    </rPh>
    <phoneticPr fontId="1"/>
  </si>
  <si>
    <t>プレイヤーアニメーション</t>
    <phoneticPr fontId="1"/>
  </si>
  <si>
    <t>敵アニメーション</t>
    <rPh sb="0" eb="1">
      <t>テキ</t>
    </rPh>
    <phoneticPr fontId="1"/>
  </si>
  <si>
    <t>ステージ</t>
    <phoneticPr fontId="1"/>
  </si>
  <si>
    <t>カレンダー</t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</si>
  <si>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</si>
  <si>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</si>
  <si>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締め切り</t>
    <rPh sb="0" eb="1">
      <t>シ</t>
    </rPh>
    <rPh sb="2" eb="3">
      <t>キ</t>
    </rPh>
    <phoneticPr fontId="1"/>
  </si>
  <si>
    <t>1日の必要消費コスト</t>
    <rPh sb="1" eb="2">
      <t>ニチ</t>
    </rPh>
    <rPh sb="3" eb="5">
      <t>ヒツヨウ</t>
    </rPh>
    <rPh sb="5" eb="7">
      <t>ショウヒ</t>
    </rPh>
    <phoneticPr fontId="1"/>
  </si>
  <si>
    <t>開発日数</t>
    <rPh sb="0" eb="4">
      <t>カイハツニッスウ</t>
    </rPh>
    <phoneticPr fontId="1"/>
  </si>
  <si>
    <t>1コスト3時間（1日は2コスト）</t>
    <rPh sb="5" eb="7">
      <t>ジカン</t>
    </rPh>
    <rPh sb="9" eb="10">
      <t>ニチ</t>
    </rPh>
    <phoneticPr fontId="1"/>
  </si>
  <si>
    <t>クラス詳細</t>
    <rPh sb="3" eb="5">
      <t>ショウサイ</t>
    </rPh>
    <phoneticPr fontId="1"/>
  </si>
  <si>
    <t>GameObject</t>
    <phoneticPr fontId="1"/>
  </si>
  <si>
    <t>クラス名</t>
    <rPh sb="3" eb="4">
      <t>メイ</t>
    </rPh>
    <phoneticPr fontId="1"/>
  </si>
  <si>
    <t>Player</t>
    <phoneticPr fontId="1"/>
  </si>
  <si>
    <t>Enemy</t>
    <phoneticPr fontId="1"/>
  </si>
  <si>
    <t>Camera</t>
    <phoneticPr fontId="1"/>
  </si>
  <si>
    <t>内容</t>
    <rPh sb="0" eb="2">
      <t>ナイヨウ</t>
    </rPh>
    <phoneticPr fontId="1"/>
  </si>
  <si>
    <t>メンバ変数</t>
    <rPh sb="3" eb="5">
      <t>ヘンスウ</t>
    </rPh>
    <phoneticPr fontId="1"/>
  </si>
  <si>
    <t>メンバ関数</t>
    <rPh sb="3" eb="5">
      <t>カンスウ</t>
    </rPh>
    <phoneticPr fontId="1"/>
  </si>
  <si>
    <t>ゲームに出すオブジェクトそれぞれの上位存在</t>
    <rPh sb="4" eb="5">
      <t>ダ</t>
    </rPh>
    <rPh sb="17" eb="21">
      <t>ジョウイソンザイ</t>
    </rPh>
    <phoneticPr fontId="1"/>
  </si>
  <si>
    <t>プレイヤーに殴られて死ぬ</t>
    <rPh sb="6" eb="7">
      <t>ナグ</t>
    </rPh>
    <rPh sb="10" eb="11">
      <t>シ</t>
    </rPh>
    <phoneticPr fontId="1"/>
  </si>
  <si>
    <t>移動、攻撃、カメラ</t>
    <rPh sb="0" eb="2">
      <t>イドウ</t>
    </rPh>
    <rPh sb="3" eb="5">
      <t>コウゲキ</t>
    </rPh>
    <phoneticPr fontId="1"/>
  </si>
  <si>
    <t>プレイヤーが操作するカメラ。回転と移動をする必要がある</t>
    <rPh sb="6" eb="8">
      <t>ソウサ</t>
    </rPh>
    <rPh sb="14" eb="16">
      <t>カイテン</t>
    </rPh>
    <rPh sb="17" eb="19">
      <t>イドウ</t>
    </rPh>
    <rPh sb="22" eb="24">
      <t>ヒツヨウ</t>
    </rPh>
    <phoneticPr fontId="1"/>
  </si>
  <si>
    <t>生きているか</t>
    <rPh sb="0" eb="1">
      <t>イ</t>
    </rPh>
    <phoneticPr fontId="1"/>
  </si>
  <si>
    <t>位置、速度、向き、重力、フレーム</t>
    <rPh sb="0" eb="2">
      <t>イチ</t>
    </rPh>
    <rPh sb="3" eb="5">
      <t>ソクド</t>
    </rPh>
    <rPh sb="6" eb="7">
      <t>ム</t>
    </rPh>
    <rPh sb="9" eb="11">
      <t>ジュウリョク</t>
    </rPh>
    <phoneticPr fontId="1"/>
  </si>
  <si>
    <t>攻撃</t>
    <rPh sb="0" eb="2">
      <t>コウゲキ</t>
    </rPh>
    <phoneticPr fontId="1"/>
  </si>
  <si>
    <t>死ぬ、被弾</t>
    <rPh sb="0" eb="1">
      <t>シ</t>
    </rPh>
    <rPh sb="3" eb="5">
      <t>ヒダン</t>
    </rPh>
    <phoneticPr fontId="1"/>
  </si>
  <si>
    <t>EnemyFactory</t>
    <phoneticPr fontId="1"/>
  </si>
  <si>
    <t>敵を生成するもの。</t>
    <rPh sb="0" eb="1">
      <t>テキ</t>
    </rPh>
    <rPh sb="2" eb="4">
      <t>セイセイ</t>
    </rPh>
    <phoneticPr fontId="1"/>
  </si>
  <si>
    <t>敵のポインタ</t>
    <rPh sb="0" eb="1">
      <t>テキ</t>
    </rPh>
    <phoneticPr fontId="1"/>
  </si>
  <si>
    <t>敵を出現させる</t>
    <rPh sb="0" eb="1">
      <t>テキ</t>
    </rPh>
    <rPh sb="2" eb="4">
      <t>シュツゲン</t>
    </rPh>
    <phoneticPr fontId="1"/>
  </si>
  <si>
    <t>ターゲット</t>
    <phoneticPr fontId="1"/>
  </si>
  <si>
    <t>Transformを反映する,位置を取得する</t>
    <rPh sb="10" eb="12">
      <t>ハンエイ</t>
    </rPh>
    <rPh sb="15" eb="17">
      <t>イチ</t>
    </rPh>
    <rPh sb="18" eb="20">
      <t>シュトク</t>
    </rPh>
    <phoneticPr fontId="1"/>
  </si>
  <si>
    <t xml:space="preserve"> </t>
    <phoneticPr fontId="1"/>
  </si>
  <si>
    <t>Animation</t>
    <phoneticPr fontId="1"/>
  </si>
  <si>
    <t>プレイヤーや敵のアニメーションを行う際に再生・停止などを行わせる</t>
    <rPh sb="6" eb="7">
      <t>テキ</t>
    </rPh>
    <rPh sb="16" eb="17">
      <t>オコナ</t>
    </rPh>
    <rPh sb="18" eb="19">
      <t>サイ</t>
    </rPh>
    <rPh sb="20" eb="22">
      <t>サイセイ</t>
    </rPh>
    <rPh sb="23" eb="25">
      <t>テイシ</t>
    </rPh>
    <rPh sb="28" eb="29">
      <t>オコナ</t>
    </rPh>
    <phoneticPr fontId="1"/>
  </si>
  <si>
    <t>プレイヤーの移動</t>
    <rPh sb="6" eb="8">
      <t>イドウ</t>
    </rPh>
    <phoneticPr fontId="1"/>
  </si>
  <si>
    <t>プレイヤーの待機</t>
    <rPh sb="6" eb="8">
      <t>タイキ</t>
    </rPh>
    <phoneticPr fontId="1"/>
  </si>
  <si>
    <t>春作品ブラッシュアップ</t>
    <rPh sb="0" eb="3">
      <t>ハルサクヒン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</si>
</sst>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6" borderId="9" xfId="0" applyFill="1" applyBorder="1">
      <alignment vertical="center"/>
    </xf>
    <xf numFmtId="0" fontId="0" fillId="6" borderId="10" xfId="0" applyFill="1" applyBorder="1">
      <alignment vertical="center"/>
    </xf>
    <xf numFmtId="0" fontId="0" fillId="6" borderId="11" xfId="0" applyFill="1" applyBorder="1">
      <alignment vertical="center"/>
    </xf>
    <xf numFmtId="0" fontId="0" fillId="6" borderId="1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3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2" borderId="1" xfId="0" applyFill="1" applyBorder="1">
      <alignment vertical="center"/>
    </xf>
    <xf numFmtId="0" fontId="0" fillId="3" borderId="15" xfId="0" applyFill="1" applyBorder="1">
      <alignment vertical="center"/>
    </xf>
    <xf numFmtId="0" fontId="0" fillId="5" borderId="15" xfId="0" applyFill="1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11"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467353</xdr:colOff>
      <xdr:row>0</xdr:row>
      <xdr:rowOff>0</xdr:rowOff>
    </xdr:from>
    <xdr:to>
      <xdr:col>9</xdr:col>
      <xdr:colOff>56060</xdr:colOff>
      <xdr:row>21</xdr:row>
      <xdr:rowOff>77053</xdr:rowOff>
    </xdr:to>
    <xdr:sp macro="" textlink="">
      <xdr:nvSpPr>
        <xdr:cNvPr id="35" name="Arrow: Right 24">
          <a:extLst>
            <a:ext uri="{FF2B5EF4-FFF2-40B4-BE49-F238E27FC236}">
              <a16:creationId xmlns:a16="http://schemas.microsoft.com/office/drawing/2014/main" id="{A135B934-ED09-4E6B-933C-35C9CBC7E8FB}"/>
            </a:ext>
          </a:extLst>
        </xdr:cNvPr>
        <xdr:cNvSpPr/>
      </xdr:nvSpPr>
      <xdr:spPr>
        <a:xfrm rot="8097965">
          <a:off x="3562533" y="2373291"/>
          <a:ext cx="5018847" cy="2722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120773</xdr:colOff>
      <xdr:row>7</xdr:row>
      <xdr:rowOff>242071</xdr:rowOff>
    </xdr:from>
    <xdr:to>
      <xdr:col>12</xdr:col>
      <xdr:colOff>159070</xdr:colOff>
      <xdr:row>9</xdr:row>
      <xdr:rowOff>35241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D01E877E-2A8C-BDFA-FC85-FE889904E537}"/>
            </a:ext>
          </a:extLst>
        </xdr:cNvPr>
        <xdr:cNvSpPr/>
      </xdr:nvSpPr>
      <xdr:spPr>
        <a:xfrm rot="8381235">
          <a:off x="6924344" y="1956571"/>
          <a:ext cx="1399012" cy="28302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173780</xdr:colOff>
      <xdr:row>7</xdr:row>
      <xdr:rowOff>53410</xdr:rowOff>
    </xdr:from>
    <xdr:to>
      <xdr:col>12</xdr:col>
      <xdr:colOff>450005</xdr:colOff>
      <xdr:row>15</xdr:row>
      <xdr:rowOff>123267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97BF8ACD-94F4-4DED-A5E2-E775A4B75260}"/>
            </a:ext>
          </a:extLst>
        </xdr:cNvPr>
        <xdr:cNvSpPr/>
      </xdr:nvSpPr>
      <xdr:spPr>
        <a:xfrm rot="5400000">
          <a:off x="7538376" y="2538785"/>
          <a:ext cx="1952445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585680</xdr:colOff>
      <xdr:row>5</xdr:row>
      <xdr:rowOff>232072</xdr:rowOff>
    </xdr:from>
    <xdr:to>
      <xdr:col>14</xdr:col>
      <xdr:colOff>175544</xdr:colOff>
      <xdr:row>12</xdr:row>
      <xdr:rowOff>51703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412D9D80-9321-46AB-BECC-47D2F7DCE605}"/>
            </a:ext>
          </a:extLst>
        </xdr:cNvPr>
        <xdr:cNvSpPr/>
      </xdr:nvSpPr>
      <xdr:spPr>
        <a:xfrm rot="2971682">
          <a:off x="8875209" y="2005426"/>
          <a:ext cx="1466895" cy="27342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394354</xdr:colOff>
      <xdr:row>10</xdr:row>
      <xdr:rowOff>200832</xdr:rowOff>
    </xdr:from>
    <xdr:to>
      <xdr:col>15</xdr:col>
      <xdr:colOff>575329</xdr:colOff>
      <xdr:row>13</xdr:row>
      <xdr:rowOff>59599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40E0DAD-F4EB-401D-8215-AB3450FF18B6}"/>
            </a:ext>
          </a:extLst>
        </xdr:cNvPr>
        <xdr:cNvSpPr/>
      </xdr:nvSpPr>
      <xdr:spPr>
        <a:xfrm>
          <a:off x="9280619" y="2554067"/>
          <a:ext cx="1548092" cy="564738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Camera</a:t>
          </a:r>
        </a:p>
      </xdr:txBody>
    </xdr:sp>
    <xdr:clientData/>
  </xdr:twoCellAnchor>
  <xdr:twoCellAnchor>
    <xdr:from>
      <xdr:col>11</xdr:col>
      <xdr:colOff>259507</xdr:colOff>
      <xdr:row>6</xdr:row>
      <xdr:rowOff>5786</xdr:rowOff>
    </xdr:from>
    <xdr:to>
      <xdr:col>13</xdr:col>
      <xdr:colOff>440482</xdr:colOff>
      <xdr:row>8</xdr:row>
      <xdr:rowOff>101037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BE5599-95B1-FE9F-CDCE-BAA7412DECBD}"/>
            </a:ext>
          </a:extLst>
        </xdr:cNvPr>
        <xdr:cNvSpPr/>
      </xdr:nvSpPr>
      <xdr:spPr>
        <a:xfrm>
          <a:off x="7743436" y="1475357"/>
          <a:ext cx="1541689" cy="58510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GameObject</a:t>
          </a:r>
        </a:p>
      </xdr:txBody>
    </xdr:sp>
    <xdr:clientData/>
  </xdr:twoCellAnchor>
  <xdr:twoCellAnchor>
    <xdr:from>
      <xdr:col>12</xdr:col>
      <xdr:colOff>70045</xdr:colOff>
      <xdr:row>12</xdr:row>
      <xdr:rowOff>45007</xdr:rowOff>
    </xdr:from>
    <xdr:to>
      <xdr:col>12</xdr:col>
      <xdr:colOff>631542</xdr:colOff>
      <xdr:row>13</xdr:row>
      <xdr:rowOff>90988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5E2E3BD-9CCA-4EA5-B777-5FBF338CAFEE}"/>
            </a:ext>
          </a:extLst>
        </xdr:cNvPr>
        <xdr:cNvSpPr txBox="1"/>
      </xdr:nvSpPr>
      <xdr:spPr>
        <a:xfrm>
          <a:off x="8272751" y="2868889"/>
          <a:ext cx="561497" cy="281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</a:rPr>
            <a:t>継承</a:t>
          </a:r>
        </a:p>
      </xdr:txBody>
    </xdr:sp>
    <xdr:clientData/>
  </xdr:twoCellAnchor>
  <xdr:twoCellAnchor>
    <xdr:from>
      <xdr:col>13</xdr:col>
      <xdr:colOff>491863</xdr:colOff>
      <xdr:row>8</xdr:row>
      <xdr:rowOff>212761</xdr:rowOff>
    </xdr:from>
    <xdr:to>
      <xdr:col>14</xdr:col>
      <xdr:colOff>358992</xdr:colOff>
      <xdr:row>10</xdr:row>
      <xdr:rowOff>18549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633AA0-7B76-4242-A973-C6617CF77E8C}"/>
            </a:ext>
          </a:extLst>
        </xdr:cNvPr>
        <xdr:cNvSpPr txBox="1"/>
      </xdr:nvSpPr>
      <xdr:spPr>
        <a:xfrm>
          <a:off x="9378128" y="2095349"/>
          <a:ext cx="550688" cy="276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</a:rPr>
            <a:t>継承</a:t>
          </a:r>
        </a:p>
      </xdr:txBody>
    </xdr:sp>
    <xdr:clientData/>
  </xdr:twoCellAnchor>
  <xdr:oneCellAnchor>
    <xdr:from>
      <xdr:col>3</xdr:col>
      <xdr:colOff>104775</xdr:colOff>
      <xdr:row>8</xdr:row>
      <xdr:rowOff>104775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E231351-0619-3498-AC49-3B574323E1D3}"/>
            </a:ext>
          </a:extLst>
        </xdr:cNvPr>
        <xdr:cNvSpPr txBox="1"/>
      </xdr:nvSpPr>
      <xdr:spPr>
        <a:xfrm>
          <a:off x="2162175" y="200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6</xdr:col>
      <xdr:colOff>189871</xdr:colOff>
      <xdr:row>18</xdr:row>
      <xdr:rowOff>124607</xdr:rowOff>
    </xdr:from>
    <xdr:to>
      <xdr:col>11</xdr:col>
      <xdr:colOff>112157</xdr:colOff>
      <xdr:row>19</xdr:row>
      <xdr:rowOff>162706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02944511-33A1-2BA1-3BA6-A58D9E107A5F}"/>
            </a:ext>
          </a:extLst>
        </xdr:cNvPr>
        <xdr:cNvSpPr/>
      </xdr:nvSpPr>
      <xdr:spPr>
        <a:xfrm rot="21186054">
          <a:off x="4291224" y="4360431"/>
          <a:ext cx="3340080" cy="27342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656662</xdr:colOff>
      <xdr:row>15</xdr:row>
      <xdr:rowOff>145342</xdr:rowOff>
    </xdr:from>
    <xdr:to>
      <xdr:col>9</xdr:col>
      <xdr:colOff>256765</xdr:colOff>
      <xdr:row>16</xdr:row>
      <xdr:rowOff>180214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45549550-482F-596F-29B2-56A37D7FB857}"/>
            </a:ext>
          </a:extLst>
        </xdr:cNvPr>
        <xdr:cNvSpPr/>
      </xdr:nvSpPr>
      <xdr:spPr>
        <a:xfrm rot="18983565">
          <a:off x="4758015" y="3675195"/>
          <a:ext cx="1650779" cy="27019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437750</xdr:colOff>
      <xdr:row>18</xdr:row>
      <xdr:rowOff>160558</xdr:rowOff>
    </xdr:from>
    <xdr:to>
      <xdr:col>7</xdr:col>
      <xdr:colOff>96322</xdr:colOff>
      <xdr:row>21</xdr:row>
      <xdr:rowOff>44823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B59C6AC-320B-D140-0B4F-CB38D534EBE9}"/>
            </a:ext>
          </a:extLst>
        </xdr:cNvPr>
        <xdr:cNvSpPr/>
      </xdr:nvSpPr>
      <xdr:spPr>
        <a:xfrm>
          <a:off x="3171985" y="4396382"/>
          <a:ext cx="1709249" cy="59023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/>
            <a:t>Collision</a:t>
          </a:r>
        </a:p>
        <a:p>
          <a:pPr algn="ctr"/>
          <a:r>
            <a:rPr kumimoji="1" lang="en-US" altLang="ja-JP" sz="1400"/>
            <a:t>Manager</a:t>
          </a:r>
        </a:p>
      </xdr:txBody>
    </xdr:sp>
    <xdr:clientData/>
  </xdr:twoCellAnchor>
  <xdr:twoCellAnchor>
    <xdr:from>
      <xdr:col>7</xdr:col>
      <xdr:colOff>328498</xdr:colOff>
      <xdr:row>16</xdr:row>
      <xdr:rowOff>169379</xdr:rowOff>
    </xdr:from>
    <xdr:to>
      <xdr:col>8</xdr:col>
      <xdr:colOff>121767</xdr:colOff>
      <xdr:row>17</xdr:row>
      <xdr:rowOff>163537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7649D35-201C-BD70-47DE-B3AB36BD0429}"/>
            </a:ext>
          </a:extLst>
        </xdr:cNvPr>
        <xdr:cNvSpPr txBox="1"/>
      </xdr:nvSpPr>
      <xdr:spPr>
        <a:xfrm>
          <a:off x="5113410" y="3934555"/>
          <a:ext cx="476828" cy="229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参照</a:t>
          </a:r>
        </a:p>
      </xdr:txBody>
    </xdr:sp>
    <xdr:clientData/>
  </xdr:twoCellAnchor>
  <xdr:twoCellAnchor>
    <xdr:from>
      <xdr:col>8</xdr:col>
      <xdr:colOff>341404</xdr:colOff>
      <xdr:row>18</xdr:row>
      <xdr:rowOff>136300</xdr:rowOff>
    </xdr:from>
    <xdr:to>
      <xdr:col>9</xdr:col>
      <xdr:colOff>134675</xdr:colOff>
      <xdr:row>19</xdr:row>
      <xdr:rowOff>125586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A1AD22-363F-680F-1508-F795FC33050B}"/>
            </a:ext>
          </a:extLst>
        </xdr:cNvPr>
        <xdr:cNvSpPr txBox="1"/>
      </xdr:nvSpPr>
      <xdr:spPr>
        <a:xfrm>
          <a:off x="5809875" y="4372124"/>
          <a:ext cx="476829" cy="224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参照</a:t>
          </a:r>
        </a:p>
      </xdr:txBody>
    </xdr:sp>
    <xdr:clientData/>
  </xdr:twoCellAnchor>
  <xdr:twoCellAnchor>
    <xdr:from>
      <xdr:col>13</xdr:col>
      <xdr:colOff>417239</xdr:colOff>
      <xdr:row>15</xdr:row>
      <xdr:rowOff>171615</xdr:rowOff>
    </xdr:from>
    <xdr:to>
      <xdr:col>17</xdr:col>
      <xdr:colOff>290883</xdr:colOff>
      <xdr:row>16</xdr:row>
      <xdr:rowOff>215718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02CD9CDC-AEF2-8E6F-A4B0-CAC56BB642A1}"/>
            </a:ext>
          </a:extLst>
        </xdr:cNvPr>
        <xdr:cNvSpPr/>
      </xdr:nvSpPr>
      <xdr:spPr>
        <a:xfrm rot="10172058">
          <a:off x="9303504" y="3701468"/>
          <a:ext cx="2607879" cy="27942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221028</xdr:colOff>
      <xdr:row>15</xdr:row>
      <xdr:rowOff>164439</xdr:rowOff>
    </xdr:from>
    <xdr:to>
      <xdr:col>16</xdr:col>
      <xdr:colOff>21397</xdr:colOff>
      <xdr:row>16</xdr:row>
      <xdr:rowOff>153725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47B2FF1-D847-946F-6A93-71A990F98BF2}"/>
            </a:ext>
          </a:extLst>
        </xdr:cNvPr>
        <xdr:cNvSpPr txBox="1"/>
      </xdr:nvSpPr>
      <xdr:spPr>
        <a:xfrm>
          <a:off x="10474410" y="3694292"/>
          <a:ext cx="483928" cy="224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実体</a:t>
          </a:r>
        </a:p>
      </xdr:txBody>
    </xdr:sp>
    <xdr:clientData/>
  </xdr:twoCellAnchor>
  <xdr:twoCellAnchor>
    <xdr:from>
      <xdr:col>17</xdr:col>
      <xdr:colOff>66598</xdr:colOff>
      <xdr:row>14</xdr:row>
      <xdr:rowOff>37533</xdr:rowOff>
    </xdr:from>
    <xdr:to>
      <xdr:col>19</xdr:col>
      <xdr:colOff>244945</xdr:colOff>
      <xdr:row>16</xdr:row>
      <xdr:rowOff>131624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9B22A1E-D340-4259-A025-B0C944A0E980}"/>
            </a:ext>
          </a:extLst>
        </xdr:cNvPr>
        <xdr:cNvSpPr/>
      </xdr:nvSpPr>
      <xdr:spPr>
        <a:xfrm>
          <a:off x="11687098" y="3332062"/>
          <a:ext cx="1545465" cy="564738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EnemyFactory</a:t>
          </a:r>
        </a:p>
      </xdr:txBody>
    </xdr:sp>
    <xdr:clientData/>
  </xdr:twoCellAnchor>
  <xdr:twoCellAnchor>
    <xdr:from>
      <xdr:col>11</xdr:col>
      <xdr:colOff>655362</xdr:colOff>
      <xdr:row>2</xdr:row>
      <xdr:rowOff>149200</xdr:rowOff>
    </xdr:from>
    <xdr:to>
      <xdr:col>12</xdr:col>
      <xdr:colOff>253873</xdr:colOff>
      <xdr:row>5</xdr:row>
      <xdr:rowOff>213129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2629A2C8-491E-42DE-1B37-4D6904CC831A}"/>
            </a:ext>
          </a:extLst>
        </xdr:cNvPr>
        <xdr:cNvSpPr/>
      </xdr:nvSpPr>
      <xdr:spPr>
        <a:xfrm rot="5785265">
          <a:off x="7879367" y="898981"/>
          <a:ext cx="798715" cy="27886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575421</xdr:colOff>
      <xdr:row>4</xdr:row>
      <xdr:rowOff>24869</xdr:rowOff>
    </xdr:from>
    <xdr:to>
      <xdr:col>12</xdr:col>
      <xdr:colOff>372977</xdr:colOff>
      <xdr:row>5</xdr:row>
      <xdr:rowOff>14154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F333A39-912C-088A-7DB0-4EFBD86E5F6C}"/>
            </a:ext>
          </a:extLst>
        </xdr:cNvPr>
        <xdr:cNvSpPr txBox="1"/>
      </xdr:nvSpPr>
      <xdr:spPr>
        <a:xfrm>
          <a:off x="8059350" y="1004583"/>
          <a:ext cx="477913" cy="2342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実体</a:t>
          </a:r>
        </a:p>
      </xdr:txBody>
    </xdr:sp>
    <xdr:clientData/>
  </xdr:twoCellAnchor>
  <xdr:twoCellAnchor>
    <xdr:from>
      <xdr:col>4</xdr:col>
      <xdr:colOff>129898</xdr:colOff>
      <xdr:row>5</xdr:row>
      <xdr:rowOff>138666</xdr:rowOff>
    </xdr:from>
    <xdr:to>
      <xdr:col>11</xdr:col>
      <xdr:colOff>563665</xdr:colOff>
      <xdr:row>6</xdr:row>
      <xdr:rowOff>175608</xdr:rowOff>
    </xdr:to>
    <xdr:sp macro="" textlink="">
      <xdr:nvSpPr>
        <xdr:cNvPr id="18" name="Arrow: Right 24">
          <a:extLst>
            <a:ext uri="{FF2B5EF4-FFF2-40B4-BE49-F238E27FC236}">
              <a16:creationId xmlns:a16="http://schemas.microsoft.com/office/drawing/2014/main" id="{6677502D-58A3-4656-AE4B-8892BA50CD9A}"/>
            </a:ext>
          </a:extLst>
        </xdr:cNvPr>
        <xdr:cNvSpPr/>
      </xdr:nvSpPr>
      <xdr:spPr>
        <a:xfrm rot="9301400">
          <a:off x="2864133" y="1315284"/>
          <a:ext cx="5218679" cy="2722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290802</xdr:colOff>
      <xdr:row>4</xdr:row>
      <xdr:rowOff>128880</xdr:rowOff>
    </xdr:from>
    <xdr:to>
      <xdr:col>9</xdr:col>
      <xdr:colOff>92254</xdr:colOff>
      <xdr:row>5</xdr:row>
      <xdr:rowOff>118165</xdr:rowOff>
    </xdr:to>
    <xdr:sp macro="" textlink="">
      <xdr:nvSpPr>
        <xdr:cNvPr id="23" name="TextBox 25">
          <a:extLst>
            <a:ext uri="{FF2B5EF4-FFF2-40B4-BE49-F238E27FC236}">
              <a16:creationId xmlns:a16="http://schemas.microsoft.com/office/drawing/2014/main" id="{9E6D9CFE-6E3B-47C2-8DD9-3F729234D341}"/>
            </a:ext>
          </a:extLst>
        </xdr:cNvPr>
        <xdr:cNvSpPr txBox="1"/>
      </xdr:nvSpPr>
      <xdr:spPr>
        <a:xfrm>
          <a:off x="5759273" y="1070174"/>
          <a:ext cx="485010" cy="224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実体</a:t>
          </a:r>
        </a:p>
      </xdr:txBody>
    </xdr:sp>
    <xdr:clientData/>
  </xdr:twoCellAnchor>
  <xdr:twoCellAnchor>
    <xdr:from>
      <xdr:col>5</xdr:col>
      <xdr:colOff>466783</xdr:colOff>
      <xdr:row>11</xdr:row>
      <xdr:rowOff>235133</xdr:rowOff>
    </xdr:from>
    <xdr:to>
      <xdr:col>9</xdr:col>
      <xdr:colOff>59217</xdr:colOff>
      <xdr:row>13</xdr:row>
      <xdr:rowOff>38479</xdr:rowOff>
    </xdr:to>
    <xdr:sp macro="" textlink="">
      <xdr:nvSpPr>
        <xdr:cNvPr id="27" name="Arrow: Right 9">
          <a:extLst>
            <a:ext uri="{FF2B5EF4-FFF2-40B4-BE49-F238E27FC236}">
              <a16:creationId xmlns:a16="http://schemas.microsoft.com/office/drawing/2014/main" id="{C525A878-C8D0-4E9E-8EA5-8D1A7E565304}"/>
            </a:ext>
          </a:extLst>
        </xdr:cNvPr>
        <xdr:cNvSpPr/>
      </xdr:nvSpPr>
      <xdr:spPr>
        <a:xfrm rot="10800000">
          <a:off x="3884577" y="2823692"/>
          <a:ext cx="2326669" cy="27399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433262</xdr:colOff>
      <xdr:row>11</xdr:row>
      <xdr:rowOff>211634</xdr:rowOff>
    </xdr:from>
    <xdr:to>
      <xdr:col>7</xdr:col>
      <xdr:colOff>359293</xdr:colOff>
      <xdr:row>13</xdr:row>
      <xdr:rowOff>26085</xdr:rowOff>
    </xdr:to>
    <xdr:sp macro="" textlink="">
      <xdr:nvSpPr>
        <xdr:cNvPr id="28" name="TextBox 19">
          <a:extLst>
            <a:ext uri="{FF2B5EF4-FFF2-40B4-BE49-F238E27FC236}">
              <a16:creationId xmlns:a16="http://schemas.microsoft.com/office/drawing/2014/main" id="{903B4AE0-5D43-4634-9D1E-23B43FF4D363}"/>
            </a:ext>
          </a:extLst>
        </xdr:cNvPr>
        <xdr:cNvSpPr txBox="1"/>
      </xdr:nvSpPr>
      <xdr:spPr>
        <a:xfrm rot="21445648">
          <a:off x="4534615" y="2800193"/>
          <a:ext cx="609590" cy="285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>
              <a:solidFill>
                <a:srgbClr val="FF0000"/>
              </a:solidFill>
            </a:rPr>
            <a:t>参照</a:t>
          </a:r>
        </a:p>
      </xdr:txBody>
    </xdr:sp>
    <xdr:clientData/>
  </xdr:twoCellAnchor>
  <xdr:twoCellAnchor>
    <xdr:from>
      <xdr:col>5</xdr:col>
      <xdr:colOff>379025</xdr:colOff>
      <xdr:row>14</xdr:row>
      <xdr:rowOff>136408</xdr:rowOff>
    </xdr:from>
    <xdr:to>
      <xdr:col>11</xdr:col>
      <xdr:colOff>378715</xdr:colOff>
      <xdr:row>15</xdr:row>
      <xdr:rowOff>184112</xdr:rowOff>
    </xdr:to>
    <xdr:sp macro="" textlink="">
      <xdr:nvSpPr>
        <xdr:cNvPr id="29" name="Arrow: Right 9">
          <a:extLst>
            <a:ext uri="{FF2B5EF4-FFF2-40B4-BE49-F238E27FC236}">
              <a16:creationId xmlns:a16="http://schemas.microsoft.com/office/drawing/2014/main" id="{1C85E42A-F2B2-444C-AA4D-DEEEE5EB77BE}"/>
            </a:ext>
          </a:extLst>
        </xdr:cNvPr>
        <xdr:cNvSpPr/>
      </xdr:nvSpPr>
      <xdr:spPr>
        <a:xfrm rot="11559552">
          <a:off x="3796819" y="3430937"/>
          <a:ext cx="4101043" cy="28302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425592</xdr:colOff>
      <xdr:row>15</xdr:row>
      <xdr:rowOff>88939</xdr:rowOff>
    </xdr:from>
    <xdr:to>
      <xdr:col>10</xdr:col>
      <xdr:colOff>408651</xdr:colOff>
      <xdr:row>16</xdr:row>
      <xdr:rowOff>173790</xdr:rowOff>
    </xdr:to>
    <xdr:sp macro="" textlink="">
      <xdr:nvSpPr>
        <xdr:cNvPr id="30" name="TextBox 19">
          <a:extLst>
            <a:ext uri="{FF2B5EF4-FFF2-40B4-BE49-F238E27FC236}">
              <a16:creationId xmlns:a16="http://schemas.microsoft.com/office/drawing/2014/main" id="{9446D939-CB62-4FB3-9BD7-3DFBC55C0744}"/>
            </a:ext>
          </a:extLst>
        </xdr:cNvPr>
        <xdr:cNvSpPr txBox="1"/>
      </xdr:nvSpPr>
      <xdr:spPr>
        <a:xfrm>
          <a:off x="6577621" y="3618792"/>
          <a:ext cx="666618" cy="320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参照</a:t>
          </a:r>
        </a:p>
      </xdr:txBody>
    </xdr:sp>
    <xdr:clientData/>
  </xdr:twoCellAnchor>
  <xdr:twoCellAnchor>
    <xdr:from>
      <xdr:col>3</xdr:col>
      <xdr:colOff>200975</xdr:colOff>
      <xdr:row>11</xdr:row>
      <xdr:rowOff>143420</xdr:rowOff>
    </xdr:from>
    <xdr:to>
      <xdr:col>5</xdr:col>
      <xdr:colOff>378052</xdr:colOff>
      <xdr:row>14</xdr:row>
      <xdr:rowOff>4629</xdr:rowOff>
    </xdr:to>
    <xdr:sp macro="" textlink="">
      <xdr:nvSpPr>
        <xdr:cNvPr id="17" name="Rectangle 23">
          <a:extLst>
            <a:ext uri="{FF2B5EF4-FFF2-40B4-BE49-F238E27FC236}">
              <a16:creationId xmlns:a16="http://schemas.microsoft.com/office/drawing/2014/main" id="{6E81D0E7-01DA-4F81-B113-DB8E6E639D5F}"/>
            </a:ext>
          </a:extLst>
        </xdr:cNvPr>
        <xdr:cNvSpPr/>
      </xdr:nvSpPr>
      <xdr:spPr>
        <a:xfrm>
          <a:off x="2251651" y="2731979"/>
          <a:ext cx="1544195" cy="56717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Animation</a:t>
          </a:r>
        </a:p>
      </xdr:txBody>
    </xdr:sp>
    <xdr:clientData/>
  </xdr:twoCellAnchor>
  <xdr:twoCellAnchor>
    <xdr:from>
      <xdr:col>11</xdr:col>
      <xdr:colOff>206690</xdr:colOff>
      <xdr:row>15</xdr:row>
      <xdr:rowOff>198199</xdr:rowOff>
    </xdr:from>
    <xdr:to>
      <xdr:col>13</xdr:col>
      <xdr:colOff>390865</xdr:colOff>
      <xdr:row>18</xdr:row>
      <xdr:rowOff>58125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A20F885-6F78-4469-822C-6E7F839461ED}"/>
            </a:ext>
          </a:extLst>
        </xdr:cNvPr>
        <xdr:cNvSpPr/>
      </xdr:nvSpPr>
      <xdr:spPr>
        <a:xfrm>
          <a:off x="7725837" y="3728052"/>
          <a:ext cx="1551293" cy="565897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Enemy</a:t>
          </a:r>
        </a:p>
      </xdr:txBody>
    </xdr:sp>
    <xdr:clientData/>
  </xdr:twoCellAnchor>
  <xdr:twoCellAnchor>
    <xdr:from>
      <xdr:col>12</xdr:col>
      <xdr:colOff>117193</xdr:colOff>
      <xdr:row>7</xdr:row>
      <xdr:rowOff>36069</xdr:rowOff>
    </xdr:from>
    <xdr:to>
      <xdr:col>18</xdr:col>
      <xdr:colOff>483151</xdr:colOff>
      <xdr:row>8</xdr:row>
      <xdr:rowOff>78902</xdr:rowOff>
    </xdr:to>
    <xdr:sp macro="" textlink="">
      <xdr:nvSpPr>
        <xdr:cNvPr id="31" name="Arrow: Right 24">
          <a:extLst>
            <a:ext uri="{FF2B5EF4-FFF2-40B4-BE49-F238E27FC236}">
              <a16:creationId xmlns:a16="http://schemas.microsoft.com/office/drawing/2014/main" id="{526A6896-B434-496B-93CA-451F518825FC}"/>
            </a:ext>
          </a:extLst>
        </xdr:cNvPr>
        <xdr:cNvSpPr/>
      </xdr:nvSpPr>
      <xdr:spPr>
        <a:xfrm rot="2314216">
          <a:off x="8319899" y="1683334"/>
          <a:ext cx="4467311" cy="2781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255250</xdr:colOff>
      <xdr:row>5</xdr:row>
      <xdr:rowOff>131615</xdr:rowOff>
    </xdr:from>
    <xdr:to>
      <xdr:col>15</xdr:col>
      <xdr:colOff>52804</xdr:colOff>
      <xdr:row>6</xdr:row>
      <xdr:rowOff>120900</xdr:rowOff>
    </xdr:to>
    <xdr:sp macro="" textlink="">
      <xdr:nvSpPr>
        <xdr:cNvPr id="32" name="TextBox 25">
          <a:extLst>
            <a:ext uri="{FF2B5EF4-FFF2-40B4-BE49-F238E27FC236}">
              <a16:creationId xmlns:a16="http://schemas.microsoft.com/office/drawing/2014/main" id="{93EB9AA4-93F2-464E-9E79-3571AA958905}"/>
            </a:ext>
          </a:extLst>
        </xdr:cNvPr>
        <xdr:cNvSpPr txBox="1"/>
      </xdr:nvSpPr>
      <xdr:spPr>
        <a:xfrm>
          <a:off x="9780250" y="1356258"/>
          <a:ext cx="477911" cy="234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実体</a:t>
          </a:r>
        </a:p>
      </xdr:txBody>
    </xdr:sp>
    <xdr:clientData/>
  </xdr:twoCellAnchor>
  <xdr:twoCellAnchor>
    <xdr:from>
      <xdr:col>10</xdr:col>
      <xdr:colOff>397193</xdr:colOff>
      <xdr:row>8</xdr:row>
      <xdr:rowOff>180492</xdr:rowOff>
    </xdr:from>
    <xdr:to>
      <xdr:col>11</xdr:col>
      <xdr:colOff>268604</xdr:colOff>
      <xdr:row>9</xdr:row>
      <xdr:rowOff>232850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518418-F3E4-79B6-743D-B8DB60EF88FD}"/>
            </a:ext>
          </a:extLst>
        </xdr:cNvPr>
        <xdr:cNvSpPr txBox="1"/>
      </xdr:nvSpPr>
      <xdr:spPr>
        <a:xfrm>
          <a:off x="7200764" y="2139921"/>
          <a:ext cx="551769" cy="297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</a:rPr>
            <a:t>継承</a:t>
          </a:r>
        </a:p>
      </xdr:txBody>
    </xdr:sp>
    <xdr:clientData/>
  </xdr:twoCellAnchor>
  <xdr:twoCellAnchor>
    <xdr:from>
      <xdr:col>6</xdr:col>
      <xdr:colOff>429846</xdr:colOff>
      <xdr:row>15</xdr:row>
      <xdr:rowOff>190498</xdr:rowOff>
    </xdr:from>
    <xdr:to>
      <xdr:col>7</xdr:col>
      <xdr:colOff>231297</xdr:colOff>
      <xdr:row>16</xdr:row>
      <xdr:rowOff>179784</xdr:rowOff>
    </xdr:to>
    <xdr:sp macro="" textlink="">
      <xdr:nvSpPr>
        <xdr:cNvPr id="36" name="TextBox 25">
          <a:extLst>
            <a:ext uri="{FF2B5EF4-FFF2-40B4-BE49-F238E27FC236}">
              <a16:creationId xmlns:a16="http://schemas.microsoft.com/office/drawing/2014/main" id="{C9E3DB3F-7310-4EBE-9877-3D99337ECCC9}"/>
            </a:ext>
          </a:extLst>
        </xdr:cNvPr>
        <xdr:cNvSpPr txBox="1"/>
      </xdr:nvSpPr>
      <xdr:spPr>
        <a:xfrm>
          <a:off x="4531199" y="3720351"/>
          <a:ext cx="485010" cy="224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実体</a:t>
          </a:r>
        </a:p>
      </xdr:txBody>
    </xdr:sp>
    <xdr:clientData/>
  </xdr:twoCellAnchor>
  <xdr:twoCellAnchor>
    <xdr:from>
      <xdr:col>8</xdr:col>
      <xdr:colOff>504679</xdr:colOff>
      <xdr:row>10</xdr:row>
      <xdr:rowOff>234610</xdr:rowOff>
    </xdr:from>
    <xdr:to>
      <xdr:col>11</xdr:col>
      <xdr:colOff>5296</xdr:colOff>
      <xdr:row>13</xdr:row>
      <xdr:rowOff>83290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E51F130-21CC-4FF4-962A-70E4964537B4}"/>
            </a:ext>
          </a:extLst>
        </xdr:cNvPr>
        <xdr:cNvSpPr/>
      </xdr:nvSpPr>
      <xdr:spPr>
        <a:xfrm>
          <a:off x="5947536" y="2683896"/>
          <a:ext cx="1541689" cy="58346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Player</a:t>
          </a:r>
        </a:p>
      </xdr:txBody>
    </xdr:sp>
    <xdr:clientData/>
  </xdr:twoCellAnchor>
  <xdr:twoCellAnchor>
    <xdr:from>
      <xdr:col>10</xdr:col>
      <xdr:colOff>662995</xdr:colOff>
      <xdr:row>1</xdr:row>
      <xdr:rowOff>55652</xdr:rowOff>
    </xdr:from>
    <xdr:to>
      <xdr:col>13</xdr:col>
      <xdr:colOff>163613</xdr:colOff>
      <xdr:row>3</xdr:row>
      <xdr:rowOff>150902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A817B95-F3CB-E4A9-6E00-5151DF776C7E}"/>
            </a:ext>
          </a:extLst>
        </xdr:cNvPr>
        <xdr:cNvSpPr/>
      </xdr:nvSpPr>
      <xdr:spPr>
        <a:xfrm>
          <a:off x="7466566" y="300581"/>
          <a:ext cx="1541690" cy="585107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SceneMain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3FD9C-E324-4EF9-8E6E-0F8C6FCF9D02}" name="Table1" displayName="Table1" ref="A3:G27" totalsRowShown="0" headerRowDxfId="10" headerRowBorderDxfId="9" tableBorderDxfId="8" totalsRowBorderDxfId="7">
  <autoFilter ref="A3:G27" xr:uid="{4B53FD9C-E324-4EF9-8E6E-0F8C6FCF9D02}"/>
  <tableColumns count="7">
    <tableColumn id="1" xr3:uid="{E97F4431-85C6-4E77-984B-5FA78DBB96B6}" name="概要" dataDxfId="6"/>
    <tableColumn id="2" xr3:uid="{80B497E9-6CB6-4288-83FB-ACB8F71DC7EB}" name="詳細" dataDxfId="5"/>
    <tableColumn id="3" xr3:uid="{3626F76E-518B-47D3-82A5-7A8254E64F33}" name="優先度" dataDxfId="4"/>
    <tableColumn id="4" xr3:uid="{7A4E7B50-5A20-4296-88F0-DE2382F630CD}" name="バージョン" dataDxfId="3"/>
    <tableColumn id="5" xr3:uid="{4B22FEBB-4AE9-4452-B247-D8CB674E98A5}" name="見積コスト" dataDxfId="2"/>
    <tableColumn id="6" xr3:uid="{EFE3D777-7F1A-42D5-B8C7-2751F3B81EF8}" name="実コスト" dataDxfId="1"/>
    <tableColumn id="7" xr3:uid="{829452FC-C16A-4C9D-A9B3-F72EE84B88E0}" name="ステータス" dataDxfId="0">
      <calculatedColumnFormula>IF(E4=F4,"完成",IF(F4="作業中","作業中","未着手"))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4258-94D6-44E2-BD96-6EB7C71AF1F2}">
  <dimension ref="A1:J29"/>
  <sheetViews>
    <sheetView tabSelected="1" topLeftCell="A21" workbookViewId="0">
      <selection activeCell="C41" sqref="C41"/>
    </sheetView>
  </sheetViews>
  <sheetFormatPr defaultRowHeight="18.75" x14ac:dyDescent="0.4"/>
  <cols>
    <col min="1" max="1" width="21.625" bestFit="1" customWidth="1"/>
    <col min="2" max="2" width="25.375" bestFit="1" customWidth="1"/>
    <col min="3" max="4" width="15.125" customWidth="1"/>
    <col min="5" max="5" width="12.125" customWidth="1"/>
    <col min="6" max="6" width="10.25" customWidth="1"/>
    <col min="7" max="7" width="12.125" customWidth="1"/>
    <col min="9" max="9" width="20.375" bestFit="1" customWidth="1"/>
  </cols>
  <sheetData>
    <row r="1" spans="1:10" x14ac:dyDescent="0.4">
      <c r="A1" t="s">
        <v>0</v>
      </c>
    </row>
    <row r="2" spans="1:10" ht="19.5" thickBot="1" x14ac:dyDescent="0.45">
      <c r="A2" t="s">
        <v>49</v>
      </c>
    </row>
    <row r="3" spans="1:10" ht="19.5" thickBot="1" x14ac:dyDescent="0.45">
      <c r="A3" s="15" t="s">
        <v>1</v>
      </c>
      <c r="B3" s="15" t="s">
        <v>3</v>
      </c>
      <c r="C3" s="15" t="s">
        <v>16</v>
      </c>
      <c r="D3" s="15" t="s">
        <v>31</v>
      </c>
      <c r="E3" s="14" t="s">
        <v>4</v>
      </c>
      <c r="F3" s="12" t="s">
        <v>5</v>
      </c>
      <c r="G3" s="13" t="s">
        <v>6</v>
      </c>
    </row>
    <row r="4" spans="1:10" x14ac:dyDescent="0.4">
      <c r="A4" s="16" t="s">
        <v>2</v>
      </c>
      <c r="B4" s="16" t="s">
        <v>7</v>
      </c>
      <c r="C4" s="16" t="s">
        <v>17</v>
      </c>
      <c r="D4" s="19" t="s">
        <v>33</v>
      </c>
      <c r="E4" s="22">
        <v>1</v>
      </c>
      <c r="F4" s="22">
        <v>1</v>
      </c>
      <c r="G4" s="22" t="str">
        <f>IF(E4=F4,"完成",IF(F4="作業中","作業中","未着手"))</f>
        <v>完成</v>
      </c>
      <c r="I4" s="6" t="s">
        <v>29</v>
      </c>
      <c r="J4" s="7">
        <f>SUM(E4:E27)</f>
        <v>23</v>
      </c>
    </row>
    <row r="5" spans="1:10" x14ac:dyDescent="0.4">
      <c r="A5" s="16"/>
      <c r="B5" s="16" t="s">
        <v>8</v>
      </c>
      <c r="C5" s="16" t="s">
        <v>17</v>
      </c>
      <c r="D5" s="19" t="s">
        <v>33</v>
      </c>
      <c r="E5" s="16">
        <v>1</v>
      </c>
      <c r="F5" s="16">
        <v>1</v>
      </c>
      <c r="G5" s="16" t="str">
        <f t="shared" ref="G5:G27" si="0">IF(E5=F5,"完成",IF(F5="作業中","作業中","未着手"))</f>
        <v>完成</v>
      </c>
      <c r="I5" s="8" t="s">
        <v>30</v>
      </c>
      <c r="J5" s="9">
        <f>J4*3</f>
        <v>69</v>
      </c>
    </row>
    <row r="6" spans="1:10" ht="19.5" thickBot="1" x14ac:dyDescent="0.45">
      <c r="A6" s="16"/>
      <c r="B6" s="16" t="s">
        <v>15</v>
      </c>
      <c r="C6" s="16" t="s">
        <v>17</v>
      </c>
      <c r="D6" s="19" t="s">
        <v>33</v>
      </c>
      <c r="E6" s="16">
        <v>0.5</v>
      </c>
      <c r="F6" s="16">
        <v>0.5</v>
      </c>
      <c r="G6" s="16" t="str">
        <f t="shared" si="0"/>
        <v>完成</v>
      </c>
      <c r="I6" s="10" t="s">
        <v>32</v>
      </c>
      <c r="J6" s="11">
        <f>J4-SUM(F4:F27)</f>
        <v>0</v>
      </c>
    </row>
    <row r="7" spans="1:10" ht="19.5" thickBot="1" x14ac:dyDescent="0.45">
      <c r="A7" s="16" t="s">
        <v>9</v>
      </c>
      <c r="B7" s="16" t="s">
        <v>7</v>
      </c>
      <c r="C7" s="16" t="s">
        <v>17</v>
      </c>
      <c r="D7" s="19" t="s">
        <v>33</v>
      </c>
      <c r="E7" s="16">
        <v>2</v>
      </c>
      <c r="F7" s="16">
        <v>2</v>
      </c>
      <c r="G7" s="16" t="str">
        <f t="shared" si="0"/>
        <v>完成</v>
      </c>
    </row>
    <row r="8" spans="1:10" ht="19.5" thickBot="1" x14ac:dyDescent="0.45">
      <c r="A8" s="16"/>
      <c r="B8" s="16" t="s">
        <v>10</v>
      </c>
      <c r="C8" s="16" t="s">
        <v>17</v>
      </c>
      <c r="D8" s="19" t="s">
        <v>33</v>
      </c>
      <c r="E8" s="16">
        <v>2</v>
      </c>
      <c r="F8" s="16">
        <v>2</v>
      </c>
      <c r="G8" s="16" t="str">
        <f t="shared" si="0"/>
        <v>完成</v>
      </c>
      <c r="I8" s="23" t="s">
        <v>36</v>
      </c>
    </row>
    <row r="9" spans="1:10" ht="19.5" thickBot="1" x14ac:dyDescent="0.45">
      <c r="A9" s="16" t="s">
        <v>11</v>
      </c>
      <c r="B9" s="16" t="s">
        <v>12</v>
      </c>
      <c r="C9" s="16" t="s">
        <v>17</v>
      </c>
      <c r="D9" s="18" t="s">
        <v>34</v>
      </c>
      <c r="E9" s="16">
        <v>1</v>
      </c>
      <c r="F9" s="16">
        <v>1</v>
      </c>
      <c r="G9" s="16" t="str">
        <f t="shared" si="0"/>
        <v>完成</v>
      </c>
      <c r="I9" s="24" t="s">
        <v>33</v>
      </c>
    </row>
    <row r="10" spans="1:10" x14ac:dyDescent="0.4">
      <c r="A10" s="16"/>
      <c r="B10" s="16" t="s">
        <v>13</v>
      </c>
      <c r="C10" s="16" t="s">
        <v>17</v>
      </c>
      <c r="D10" s="19" t="s">
        <v>33</v>
      </c>
      <c r="E10" s="16">
        <v>1</v>
      </c>
      <c r="F10" s="16">
        <v>1</v>
      </c>
      <c r="G10" s="16" t="str">
        <f t="shared" si="0"/>
        <v>完成</v>
      </c>
      <c r="I10" s="6" t="s">
        <v>73</v>
      </c>
      <c r="J10" s="7">
        <f>SUMIF($D$4:$D$27,$I9,$E$4:$E$27)</f>
        <v>10</v>
      </c>
    </row>
    <row r="11" spans="1:10" ht="19.5" thickBot="1" x14ac:dyDescent="0.45">
      <c r="A11" s="16"/>
      <c r="B11" s="16" t="s">
        <v>14</v>
      </c>
      <c r="C11" s="16" t="s">
        <v>18</v>
      </c>
      <c r="D11" s="19" t="s">
        <v>33</v>
      </c>
      <c r="E11" s="16">
        <v>0.5</v>
      </c>
      <c r="F11" s="16">
        <v>0.5</v>
      </c>
      <c r="G11" s="16" t="str">
        <f t="shared" si="0"/>
        <v>完成</v>
      </c>
      <c r="I11" s="10" t="s">
        <v>38</v>
      </c>
      <c r="J11" s="11">
        <f>J10-SUMIF($D$4:$D$27,$I9,$F$4:$F$27)</f>
        <v>0</v>
      </c>
    </row>
    <row r="12" spans="1:10" ht="19.5" thickBot="1" x14ac:dyDescent="0.45">
      <c r="A12" s="16"/>
      <c r="B12" s="16" t="s">
        <v>19</v>
      </c>
      <c r="C12" s="16" t="s">
        <v>17</v>
      </c>
      <c r="D12" s="19" t="s">
        <v>33</v>
      </c>
      <c r="E12" s="16">
        <v>2</v>
      </c>
      <c r="F12" s="16">
        <v>2</v>
      </c>
      <c r="G12" s="16" t="str">
        <f t="shared" si="0"/>
        <v>完成</v>
      </c>
    </row>
    <row r="13" spans="1:10" ht="19.5" thickBot="1" x14ac:dyDescent="0.45">
      <c r="A13" s="16" t="s">
        <v>20</v>
      </c>
      <c r="B13" s="16" t="s">
        <v>21</v>
      </c>
      <c r="C13" s="16" t="s">
        <v>24</v>
      </c>
      <c r="D13" s="20" t="s">
        <v>35</v>
      </c>
      <c r="E13" s="16">
        <v>1</v>
      </c>
      <c r="F13" s="16">
        <v>1</v>
      </c>
      <c r="G13" s="16" t="str">
        <f t="shared" si="0"/>
        <v>完成</v>
      </c>
      <c r="I13" s="25" t="s">
        <v>34</v>
      </c>
    </row>
    <row r="14" spans="1:10" x14ac:dyDescent="0.4">
      <c r="A14" s="16"/>
      <c r="B14" s="16" t="s">
        <v>22</v>
      </c>
      <c r="C14" s="16" t="s">
        <v>24</v>
      </c>
      <c r="D14" s="20" t="s">
        <v>35</v>
      </c>
      <c r="E14" s="16">
        <v>1</v>
      </c>
      <c r="F14" s="16">
        <v>1</v>
      </c>
      <c r="G14" s="16" t="str">
        <f t="shared" si="0"/>
        <v>完成</v>
      </c>
      <c r="I14" s="6" t="s">
        <v>37</v>
      </c>
      <c r="J14" s="7">
        <f>SUMIF($D$4:$D$27,$I13,$E$4:$E$27)</f>
        <v>9</v>
      </c>
    </row>
    <row r="15" spans="1:10" ht="19.5" thickBot="1" x14ac:dyDescent="0.45">
      <c r="A15" s="16"/>
      <c r="B15" s="16" t="s">
        <v>23</v>
      </c>
      <c r="C15" s="16" t="s">
        <v>24</v>
      </c>
      <c r="D15" s="20" t="s">
        <v>35</v>
      </c>
      <c r="E15" s="16">
        <v>1</v>
      </c>
      <c r="F15" s="16">
        <v>1</v>
      </c>
      <c r="G15" s="16" t="str">
        <f t="shared" si="0"/>
        <v>完成</v>
      </c>
      <c r="I15" s="10" t="s">
        <v>38</v>
      </c>
      <c r="J15" s="11">
        <f>J14-SUMIF($D$4:$D$27,$I13,$F$4:$F$27)</f>
        <v>0</v>
      </c>
    </row>
    <row r="16" spans="1:10" x14ac:dyDescent="0.4">
      <c r="A16" s="16" t="s">
        <v>25</v>
      </c>
      <c r="B16" s="16" t="s">
        <v>26</v>
      </c>
      <c r="C16" s="16" t="s">
        <v>17</v>
      </c>
      <c r="D16" s="18" t="s">
        <v>34</v>
      </c>
      <c r="E16" s="16">
        <v>1</v>
      </c>
      <c r="F16" s="16">
        <v>1</v>
      </c>
      <c r="G16" s="16" t="str">
        <f t="shared" si="0"/>
        <v>完成</v>
      </c>
    </row>
    <row r="17" spans="1:10" x14ac:dyDescent="0.4">
      <c r="A17" s="16"/>
      <c r="B17" s="16" t="s">
        <v>76</v>
      </c>
      <c r="C17" s="16" t="s">
        <v>17</v>
      </c>
      <c r="D17" s="18" t="s">
        <v>34</v>
      </c>
      <c r="E17" s="16">
        <v>1</v>
      </c>
      <c r="F17" s="16">
        <v>1</v>
      </c>
      <c r="G17" s="16" t="str">
        <f>IF(E17=F17,"完成",IF(F17="作業中","作業中","未着手"))</f>
        <v>完成</v>
      </c>
    </row>
    <row r="18" spans="1:10" ht="19.5" thickBot="1" x14ac:dyDescent="0.45">
      <c r="A18" s="16"/>
      <c r="B18" s="16" t="s">
        <v>77</v>
      </c>
      <c r="C18" s="16" t="s">
        <v>17</v>
      </c>
      <c r="D18" s="18" t="s">
        <v>34</v>
      </c>
      <c r="E18" s="16">
        <v>1</v>
      </c>
      <c r="F18" s="16">
        <v>1</v>
      </c>
      <c r="G18" s="16" t="str">
        <f>IF(E18=F18,"完成",IF(F18="作業中","作業中","未着手"))</f>
        <v>完成</v>
      </c>
    </row>
    <row r="19" spans="1:10" ht="19.5" thickBot="1" x14ac:dyDescent="0.45">
      <c r="A19" s="16"/>
      <c r="B19" s="16" t="s">
        <v>27</v>
      </c>
      <c r="C19" s="16" t="s">
        <v>18</v>
      </c>
      <c r="D19" s="18" t="s">
        <v>34</v>
      </c>
      <c r="E19" s="16">
        <v>1</v>
      </c>
      <c r="F19" s="16">
        <v>1</v>
      </c>
      <c r="G19" s="16" t="str">
        <f t="shared" si="0"/>
        <v>完成</v>
      </c>
      <c r="I19" s="26" t="s">
        <v>35</v>
      </c>
    </row>
    <row r="20" spans="1:10" x14ac:dyDescent="0.4">
      <c r="A20" s="16"/>
      <c r="B20" s="16" t="s">
        <v>28</v>
      </c>
      <c r="C20" s="16" t="s">
        <v>17</v>
      </c>
      <c r="D20" s="18" t="s">
        <v>34</v>
      </c>
      <c r="E20" s="16">
        <v>1</v>
      </c>
      <c r="F20" s="16">
        <v>1</v>
      </c>
      <c r="G20" s="16" t="str">
        <f t="shared" si="0"/>
        <v>完成</v>
      </c>
      <c r="I20" s="6" t="s">
        <v>37</v>
      </c>
      <c r="J20" s="7">
        <f>SUMIF($D$4:$D$27,$I19,$E$4:$E$27)</f>
        <v>4</v>
      </c>
    </row>
    <row r="21" spans="1:10" ht="19.5" thickBot="1" x14ac:dyDescent="0.45">
      <c r="A21" s="16"/>
      <c r="B21" s="16" t="s">
        <v>20</v>
      </c>
      <c r="C21" s="16" t="s">
        <v>24</v>
      </c>
      <c r="D21" s="20" t="s">
        <v>35</v>
      </c>
      <c r="E21" s="16">
        <v>1</v>
      </c>
      <c r="F21" s="16">
        <v>1</v>
      </c>
      <c r="G21" s="16" t="str">
        <f t="shared" si="0"/>
        <v>完成</v>
      </c>
      <c r="I21" s="10" t="s">
        <v>38</v>
      </c>
      <c r="J21" s="11">
        <f>J20-SUMIF($D$4:$D$27,$I19,$F$4:$F$27)</f>
        <v>0</v>
      </c>
    </row>
    <row r="22" spans="1:10" ht="19.5" thickBot="1" x14ac:dyDescent="0.45">
      <c r="A22" s="16" t="s">
        <v>39</v>
      </c>
      <c r="B22" s="16" t="s">
        <v>2</v>
      </c>
      <c r="C22" s="16" t="s">
        <v>17</v>
      </c>
      <c r="D22" s="18" t="s">
        <v>34</v>
      </c>
      <c r="E22" s="16">
        <v>0.5</v>
      </c>
      <c r="F22" s="16">
        <v>0.5</v>
      </c>
      <c r="G22" s="16" t="str">
        <f t="shared" si="0"/>
        <v>完成</v>
      </c>
    </row>
    <row r="23" spans="1:10" ht="19.5" thickBot="1" x14ac:dyDescent="0.45">
      <c r="A23" s="16"/>
      <c r="B23" s="16" t="s">
        <v>11</v>
      </c>
      <c r="C23" s="16" t="s">
        <v>17</v>
      </c>
      <c r="D23" s="18" t="s">
        <v>34</v>
      </c>
      <c r="E23" s="16">
        <v>0.5</v>
      </c>
      <c r="F23" s="16">
        <v>0.5</v>
      </c>
      <c r="G23" s="16" t="str">
        <f t="shared" si="0"/>
        <v>完成</v>
      </c>
      <c r="I23" s="27" t="s">
        <v>48</v>
      </c>
      <c r="J23" s="28">
        <f>DATE(2026,4,13)-DATE(2026,3,17)</f>
        <v>27</v>
      </c>
    </row>
    <row r="24" spans="1:10" ht="19.5" thickBot="1" x14ac:dyDescent="0.45">
      <c r="A24" s="16"/>
      <c r="B24" s="16" t="s">
        <v>40</v>
      </c>
      <c r="C24" s="16" t="s">
        <v>17</v>
      </c>
      <c r="D24" s="18" t="s">
        <v>34</v>
      </c>
      <c r="E24" s="16">
        <v>0.5</v>
      </c>
      <c r="F24" s="16">
        <v>0.5</v>
      </c>
      <c r="G24" s="16" t="str">
        <f t="shared" si="0"/>
        <v>完成</v>
      </c>
      <c r="I24" s="27" t="s">
        <v>47</v>
      </c>
      <c r="J24" s="28">
        <f>J4/J23</f>
        <v>0.85185185185185186</v>
      </c>
    </row>
    <row r="25" spans="1:10" x14ac:dyDescent="0.4">
      <c r="A25" s="16"/>
      <c r="B25" s="16" t="s">
        <v>41</v>
      </c>
      <c r="C25" s="16" t="s">
        <v>17</v>
      </c>
      <c r="D25" s="18" t="s">
        <v>34</v>
      </c>
      <c r="E25" s="16">
        <v>0.5</v>
      </c>
      <c r="F25" s="16">
        <v>0.5</v>
      </c>
      <c r="G25" s="16" t="str">
        <f t="shared" si="0"/>
        <v>完成</v>
      </c>
    </row>
    <row r="26" spans="1:10" x14ac:dyDescent="0.4">
      <c r="A26" s="16"/>
      <c r="B26" s="16" t="s">
        <v>42</v>
      </c>
      <c r="C26" s="16" t="s">
        <v>18</v>
      </c>
      <c r="D26" s="18" t="s">
        <v>34</v>
      </c>
      <c r="E26" s="16">
        <v>0.5</v>
      </c>
      <c r="F26" s="16">
        <v>0.5</v>
      </c>
      <c r="G26" s="16" t="str">
        <f t="shared" si="0"/>
        <v>完成</v>
      </c>
    </row>
    <row r="27" spans="1:10" ht="19.5" thickBot="1" x14ac:dyDescent="0.45">
      <c r="A27" s="17"/>
      <c r="B27" s="17" t="s">
        <v>20</v>
      </c>
      <c r="C27" s="17" t="s">
        <v>24</v>
      </c>
      <c r="D27" s="21" t="s">
        <v>34</v>
      </c>
      <c r="E27" s="17">
        <v>0.5</v>
      </c>
      <c r="F27" s="16">
        <v>0.5</v>
      </c>
      <c r="G27" s="17" t="str">
        <f t="shared" si="0"/>
        <v>完成</v>
      </c>
    </row>
    <row r="29" spans="1:10" x14ac:dyDescent="0.4">
      <c r="A29" t="s">
        <v>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7D0E-0EF4-4C3A-B55B-7EE8EC16F29F}">
  <dimension ref="A1:I15"/>
  <sheetViews>
    <sheetView workbookViewId="0">
      <selection activeCell="I26" sqref="I26"/>
    </sheetView>
  </sheetViews>
  <sheetFormatPr defaultRowHeight="18.75" x14ac:dyDescent="0.4"/>
  <sheetData>
    <row r="1" spans="1:9" x14ac:dyDescent="0.4">
      <c r="A1" t="s">
        <v>43</v>
      </c>
    </row>
    <row r="3" spans="1:9" x14ac:dyDescent="0.4">
      <c r="A3" t="s">
        <v>44</v>
      </c>
    </row>
    <row r="4" spans="1:9" x14ac:dyDescent="0.4">
      <c r="A4" s="5">
        <v>1</v>
      </c>
      <c r="B4" s="5">
        <f>A4+1</f>
        <v>2</v>
      </c>
      <c r="C4" s="5">
        <f t="shared" ref="C4:G4" si="0">B4+1</f>
        <v>3</v>
      </c>
      <c r="D4" s="5">
        <f t="shared" si="0"/>
        <v>4</v>
      </c>
      <c r="E4" s="5">
        <f t="shared" si="0"/>
        <v>5</v>
      </c>
      <c r="F4" s="5">
        <f t="shared" si="0"/>
        <v>6</v>
      </c>
      <c r="G4" s="5">
        <f t="shared" si="0"/>
        <v>7</v>
      </c>
    </row>
    <row r="5" spans="1:9" x14ac:dyDescent="0.4">
      <c r="A5" s="5">
        <f>G4+1</f>
        <v>8</v>
      </c>
      <c r="B5" s="5">
        <f>A5+1</f>
        <v>9</v>
      </c>
      <c r="C5" s="5">
        <f t="shared" ref="C5:G5" si="1">B5+1</f>
        <v>10</v>
      </c>
      <c r="D5" s="5">
        <f t="shared" si="1"/>
        <v>11</v>
      </c>
      <c r="E5" s="5">
        <f t="shared" si="1"/>
        <v>12</v>
      </c>
      <c r="F5" s="5">
        <f t="shared" si="1"/>
        <v>13</v>
      </c>
      <c r="G5" s="5">
        <f t="shared" si="1"/>
        <v>14</v>
      </c>
      <c r="I5" s="1" t="s">
        <v>33</v>
      </c>
    </row>
    <row r="6" spans="1:9" x14ac:dyDescent="0.4">
      <c r="A6" s="5">
        <f>G5+1</f>
        <v>15</v>
      </c>
      <c r="B6" s="5">
        <f>A6+1</f>
        <v>16</v>
      </c>
      <c r="C6" s="1">
        <f t="shared" ref="C6:G6" si="2">B6+1</f>
        <v>17</v>
      </c>
      <c r="D6" s="1">
        <f t="shared" si="2"/>
        <v>18</v>
      </c>
      <c r="E6" s="1">
        <f t="shared" si="2"/>
        <v>19</v>
      </c>
      <c r="F6" s="1">
        <f t="shared" si="2"/>
        <v>20</v>
      </c>
      <c r="G6" s="1">
        <f t="shared" si="2"/>
        <v>21</v>
      </c>
      <c r="I6" s="2" t="s">
        <v>34</v>
      </c>
    </row>
    <row r="7" spans="1:9" x14ac:dyDescent="0.4">
      <c r="A7" s="1">
        <f>G6+1</f>
        <v>22</v>
      </c>
      <c r="B7" s="1">
        <f>A7+1</f>
        <v>23</v>
      </c>
      <c r="C7" s="1">
        <f t="shared" ref="C7:G7" si="3">B7+1</f>
        <v>24</v>
      </c>
      <c r="D7" s="1">
        <f t="shared" si="3"/>
        <v>25</v>
      </c>
      <c r="E7" s="1">
        <f t="shared" si="3"/>
        <v>26</v>
      </c>
      <c r="F7" s="1">
        <f t="shared" si="3"/>
        <v>27</v>
      </c>
      <c r="G7" s="1">
        <f t="shared" si="3"/>
        <v>28</v>
      </c>
      <c r="I7" s="4" t="s">
        <v>35</v>
      </c>
    </row>
    <row r="8" spans="1:9" x14ac:dyDescent="0.4">
      <c r="A8" s="1">
        <f>G7+1</f>
        <v>29</v>
      </c>
      <c r="B8" s="1">
        <f>A8+1</f>
        <v>30</v>
      </c>
      <c r="C8" s="2">
        <f>B8+1</f>
        <v>31</v>
      </c>
      <c r="I8" s="3" t="s">
        <v>46</v>
      </c>
    </row>
    <row r="10" spans="1:9" x14ac:dyDescent="0.4">
      <c r="A10" t="s">
        <v>45</v>
      </c>
    </row>
    <row r="11" spans="1:9" x14ac:dyDescent="0.4">
      <c r="A11" s="2">
        <v>1</v>
      </c>
      <c r="B11" s="2">
        <f>A11+1</f>
        <v>2</v>
      </c>
      <c r="C11" s="2">
        <f t="shared" ref="C11:G11" si="4">B11+1</f>
        <v>3</v>
      </c>
      <c r="D11" s="2">
        <f t="shared" si="4"/>
        <v>4</v>
      </c>
      <c r="E11" s="2">
        <f t="shared" si="4"/>
        <v>5</v>
      </c>
      <c r="F11" s="2">
        <f t="shared" si="4"/>
        <v>6</v>
      </c>
      <c r="G11" s="2">
        <f t="shared" si="4"/>
        <v>7</v>
      </c>
    </row>
    <row r="12" spans="1:9" x14ac:dyDescent="0.4">
      <c r="A12" s="4">
        <f>G11+1</f>
        <v>8</v>
      </c>
      <c r="B12" s="4">
        <f t="shared" ref="B12:G15" si="5">A12+1</f>
        <v>9</v>
      </c>
      <c r="C12" s="4">
        <f t="shared" si="5"/>
        <v>10</v>
      </c>
      <c r="D12" s="4">
        <f t="shared" si="5"/>
        <v>11</v>
      </c>
      <c r="E12" s="4">
        <f t="shared" si="5"/>
        <v>12</v>
      </c>
      <c r="F12" s="3">
        <f t="shared" si="5"/>
        <v>13</v>
      </c>
      <c r="G12" s="5">
        <f t="shared" si="5"/>
        <v>14</v>
      </c>
    </row>
    <row r="13" spans="1:9" x14ac:dyDescent="0.4">
      <c r="A13" s="5">
        <f t="shared" ref="A13:A15" si="6">G12+1</f>
        <v>15</v>
      </c>
      <c r="B13" s="5">
        <f t="shared" si="5"/>
        <v>16</v>
      </c>
      <c r="C13" s="5">
        <f t="shared" si="5"/>
        <v>17</v>
      </c>
      <c r="D13" s="5">
        <f t="shared" si="5"/>
        <v>18</v>
      </c>
      <c r="E13" s="5">
        <f t="shared" si="5"/>
        <v>19</v>
      </c>
      <c r="F13" s="5">
        <f t="shared" si="5"/>
        <v>20</v>
      </c>
      <c r="G13" s="5">
        <f t="shared" si="5"/>
        <v>21</v>
      </c>
    </row>
    <row r="14" spans="1:9" x14ac:dyDescent="0.4">
      <c r="A14" s="5">
        <f t="shared" si="6"/>
        <v>22</v>
      </c>
      <c r="B14" s="5">
        <f t="shared" si="5"/>
        <v>23</v>
      </c>
      <c r="C14" s="5">
        <f t="shared" si="5"/>
        <v>24</v>
      </c>
      <c r="D14" s="5">
        <f t="shared" si="5"/>
        <v>25</v>
      </c>
      <c r="E14" s="5">
        <f t="shared" si="5"/>
        <v>26</v>
      </c>
      <c r="F14" s="5">
        <f t="shared" si="5"/>
        <v>27</v>
      </c>
      <c r="G14" s="5">
        <f t="shared" si="5"/>
        <v>28</v>
      </c>
    </row>
    <row r="15" spans="1:9" x14ac:dyDescent="0.4">
      <c r="A15" s="5">
        <f t="shared" si="6"/>
        <v>29</v>
      </c>
      <c r="B15" s="5">
        <f t="shared" si="5"/>
        <v>30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7A9B-22C3-4B91-B60B-CE8D4AC2A40C}">
  <dimension ref="C9"/>
  <sheetViews>
    <sheetView topLeftCell="B1" zoomScale="85" zoomScaleNormal="85" workbookViewId="0">
      <selection activeCell="P28" sqref="P28"/>
    </sheetView>
  </sheetViews>
  <sheetFormatPr defaultRowHeight="18.75" x14ac:dyDescent="0.4"/>
  <sheetData>
    <row r="9" spans="3:3" x14ac:dyDescent="0.4">
      <c r="C9" t="s">
        <v>73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7A76-8688-4F39-8068-49EB5686174C}">
  <dimension ref="A3:D10"/>
  <sheetViews>
    <sheetView workbookViewId="0">
      <selection activeCell="B15" sqref="B15"/>
    </sheetView>
  </sheetViews>
  <sheetFormatPr defaultRowHeight="18.75" x14ac:dyDescent="0.4"/>
  <cols>
    <col min="1" max="1" width="13.875" bestFit="1" customWidth="1"/>
    <col min="2" max="2" width="66.875" bestFit="1" customWidth="1"/>
    <col min="3" max="3" width="33.75" bestFit="1" customWidth="1"/>
    <col min="4" max="4" width="35.25" bestFit="1" customWidth="1"/>
  </cols>
  <sheetData>
    <row r="3" spans="1:4" x14ac:dyDescent="0.4">
      <c r="A3" t="s">
        <v>50</v>
      </c>
    </row>
    <row r="4" spans="1:4" x14ac:dyDescent="0.4">
      <c r="A4" s="1" t="s">
        <v>52</v>
      </c>
      <c r="B4" s="1" t="s">
        <v>56</v>
      </c>
      <c r="C4" s="1" t="s">
        <v>57</v>
      </c>
      <c r="D4" s="1" t="s">
        <v>58</v>
      </c>
    </row>
    <row r="5" spans="1:4" x14ac:dyDescent="0.4">
      <c r="A5" t="s">
        <v>51</v>
      </c>
      <c r="B5" t="s">
        <v>59</v>
      </c>
      <c r="C5" t="s">
        <v>64</v>
      </c>
      <c r="D5" t="s">
        <v>72</v>
      </c>
    </row>
    <row r="6" spans="1:4" x14ac:dyDescent="0.4">
      <c r="A6" t="s">
        <v>53</v>
      </c>
      <c r="B6" t="s">
        <v>61</v>
      </c>
      <c r="D6" t="s">
        <v>65</v>
      </c>
    </row>
    <row r="7" spans="1:4" x14ac:dyDescent="0.4">
      <c r="A7" t="s">
        <v>54</v>
      </c>
      <c r="B7" t="s">
        <v>60</v>
      </c>
      <c r="C7" t="s">
        <v>63</v>
      </c>
      <c r="D7" t="s">
        <v>66</v>
      </c>
    </row>
    <row r="8" spans="1:4" x14ac:dyDescent="0.4">
      <c r="A8" t="s">
        <v>55</v>
      </c>
      <c r="B8" t="s">
        <v>62</v>
      </c>
      <c r="C8" t="s">
        <v>71</v>
      </c>
    </row>
    <row r="9" spans="1:4" x14ac:dyDescent="0.4">
      <c r="A9" t="s">
        <v>67</v>
      </c>
      <c r="B9" t="s">
        <v>68</v>
      </c>
      <c r="C9" t="s">
        <v>69</v>
      </c>
      <c r="D9" t="s">
        <v>70</v>
      </c>
    </row>
    <row r="10" spans="1:4" x14ac:dyDescent="0.4">
      <c r="A10" t="s">
        <v>74</v>
      </c>
      <c r="B10" t="s">
        <v>75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869A7-87F9-4889-AB8D-2F4519B49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コスト表</vt:lpstr>
      <vt:lpstr>カレンダー</vt:lpstr>
      <vt:lpstr>クラス図</vt:lpstr>
      <vt:lpstr>クラス詳細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坂本　煌</dc:creator>
  <cp:lastModifiedBy>坂本　煌</cp:lastModifiedBy>
  <dcterms:created xsi:type="dcterms:W3CDTF">2026-03-17T01:39:28Z</dcterms:created>
  <dcterms:modified xsi:type="dcterms:W3CDTF">2026-04-10T14:20:51Z</dcterms:modified>
</cp:coreProperties>
</file>