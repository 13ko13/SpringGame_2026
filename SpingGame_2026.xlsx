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SpringGame_2026\"/>
    </mc:Choice>
  </mc:AlternateContent>
  <xr:revisionPtr revIDLastSave="0" documentId="13_ncr:1_{51F51B48-8B8F-46DD-8AFD-4EDA7F3BC013}" xr6:coauthVersionLast="47" xr6:coauthVersionMax="47" xr10:uidLastSave="{00000000-0000-0000-0000-000000000000}"/>
  <bookViews>
    <workbookView xWindow="-120" yWindow="-120" windowWidth="29040" windowHeight="15720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J23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20" i="1"/>
  <c r="J21" i="1" s="1"/>
  <c r="J14" i="1"/>
  <c r="J15" i="1" s="1"/>
  <c r="J10" i="1"/>
  <c r="J11" i="1" s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G14" i="1"/>
  <c r="G15" i="1"/>
  <c r="G16" i="1"/>
  <c r="G19" i="1"/>
  <c r="G20" i="1"/>
  <c r="G21" i="1"/>
  <c r="G4" i="1"/>
  <c r="J24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<sst xmlns="http://schemas.openxmlformats.org/spreadsheetml/2006/main" count="135" uniqueCount="78">
  <si>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</si>
  <si>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</si>
  <si>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</si>
  <si>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</si>
  <si>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</si>
  <si>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</si>
  <si>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</si>
  <si>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</si>
  <si>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</si>
  <si>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</si>
  <si>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</si>
  <si>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</si>
  <si>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</si>
  <si>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</si>
  <si>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</si>
  <si>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</si>
  <si>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</si>
  <si>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</si>
  <si>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</si>
  <si>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</si>
  <si>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</si>
  <si>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</si>
  <si>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</si>
  <si>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</si>
  <si>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</si>
  <si>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</si>
  <si>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</si>
  <si>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</si>
  <si>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</si>
  <si>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</si>
  <si>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</si>
  <si>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</si>
  <si>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</si>
  <si>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</si>
  <si>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</si>
  <si>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</si>
  <si>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</si>
  <si>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</si>
  <si>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</si>
  <si>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</si>
  <si>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</si>
  <si>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</si>
  <si>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</si>
  <si>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</si>
  <si>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</si>
  <si>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</si>
  <si>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</si>
  <si>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</si>
  <si>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</si>
  <si>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</si>
  <si>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</si>
  <si>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</si>
  <si>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</si>
  <si>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</si>
  <si>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</si>
  <si>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</si>
  <si>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</si>
  <si>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</si>
  <si>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</si>
  <si>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</si>
  <si>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</si>
  <si>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</si>
  <si>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</si>
  <si>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</si>
  <si>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</si>
  <si>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</si>
  <si>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</si>
  <si>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</si>
  <si>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</si>
  <si>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</si>
  <si>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</si>
  <si>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</si>
  <si>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</si>
  <si>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</si>
  <si>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</si>
  <si>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</si>
  <si>
    <t>プレイヤーの移動</t>
    <rPh sb="6" eb="8">
      <t>イドウ</t>
    </rPh>
    <phoneticPr fontId="1"/>
  </si>
  <si>
    <t>プレイヤーの待機</t>
    <rPh sb="6" eb="8">
      <t>タイキ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</si>
</sst>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13" xfId="0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7" totalsRowShown="0" headerRowDxfId="10" headerRowBorderDxfId="9" tableBorderDxfId="8" totalsRowBorderDxfId="7">
  <autoFilter ref="A3:G27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27"/>
  <sheetViews>
    <sheetView tabSelected="1" workbookViewId="0">
      <selection activeCell="H23" sqref="H23"/>
    </sheetView>
  </sheetViews>
  <sheetFormatPr defaultRowHeight="18.75" x14ac:dyDescent="0.4"/>
  <cols>
    <col min="1" max="1" width="21.625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SUM(E4:E27)</f>
        <v>23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>
        <v>1</v>
      </c>
      <c r="G5" s="16" t="str">
        <f t="shared" ref="G5:G27" si="0">IF(E5=F5,"完成",IF(F5="作業中","作業中","未着手"))</f>
        <v>完成</v>
      </c>
      <c r="I5" s="8" t="s">
        <v>30</v>
      </c>
      <c r="J5" s="9">
        <f>J4*3</f>
        <v>69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J4-SUM(F4:F27)</f>
        <v>12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/>
      <c r="G9" s="16" t="str">
        <f t="shared" si="0"/>
        <v>未着手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/>
      <c r="G10" s="16" t="str">
        <f t="shared" si="0"/>
        <v>未着手</v>
      </c>
      <c r="I10" s="6" t="s">
        <v>73</v>
      </c>
      <c r="J10" s="7">
        <f>SUMIF($D$4:$D$27,$I9,$E$4:$E$27)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/>
      <c r="G11" s="16" t="str">
        <f t="shared" si="0"/>
        <v>未着手</v>
      </c>
      <c r="I11" s="10" t="s">
        <v>38</v>
      </c>
      <c r="J11" s="11">
        <f>J10-SUMIF($D$4:$D$27,$I9,$F$4:$F$27)</f>
        <v>3.5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/>
      <c r="G12" s="16" t="str">
        <f t="shared" si="0"/>
        <v>未着手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/>
      <c r="G13" s="16" t="str">
        <f t="shared" si="0"/>
        <v>未着手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/>
      <c r="G14" s="16" t="str">
        <f t="shared" si="0"/>
        <v>未着手</v>
      </c>
      <c r="I14" s="6" t="s">
        <v>37</v>
      </c>
      <c r="J14" s="7">
        <f>SUMIF($D$4:$D$27,$I13,$E$4:$E$27)</f>
        <v>9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/>
      <c r="G15" s="16" t="str">
        <f t="shared" si="0"/>
        <v>未着手</v>
      </c>
      <c r="I15" s="10" t="s">
        <v>38</v>
      </c>
      <c r="J15" s="11">
        <f>J14-SUMIF($D$4:$D$27,$I13,$F$4:$F$27)</f>
        <v>4.5</v>
      </c>
    </row>
    <row r="16" spans="1:10" x14ac:dyDescent="0.4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>
        <v>1</v>
      </c>
      <c r="G16" s="16" t="str">
        <f t="shared" si="0"/>
        <v>完成</v>
      </c>
    </row>
    <row r="17" spans="1:10" x14ac:dyDescent="0.4">
      <c r="A17" s="29"/>
      <c r="B17" s="29" t="s">
        <v>76</v>
      </c>
      <c r="C17" s="16" t="s">
        <v>17</v>
      </c>
      <c r="D17" s="18" t="s">
        <v>34</v>
      </c>
      <c r="E17" s="16">
        <v>1</v>
      </c>
      <c r="F17" s="16">
        <v>1</v>
      </c>
      <c r="G17" s="16" t="str">
        <f>IF(E17=F17,"完成",IF(F17="作業中","作業中","未着手"))</f>
        <v>完成</v>
      </c>
    </row>
    <row r="18" spans="1:10" ht="19.5" thickBot="1" x14ac:dyDescent="0.45">
      <c r="A18" s="29"/>
      <c r="B18" s="29" t="s">
        <v>77</v>
      </c>
      <c r="C18" s="16" t="s">
        <v>17</v>
      </c>
      <c r="D18" s="18" t="s">
        <v>34</v>
      </c>
      <c r="E18" s="16">
        <v>1</v>
      </c>
      <c r="F18" s="16">
        <v>1</v>
      </c>
      <c r="G18" s="16" t="str">
        <f>IF(E18=F18,"完成",IF(F18="作業中","作業中","未着手"))</f>
        <v>完成</v>
      </c>
    </row>
    <row r="19" spans="1:10" ht="19.5" thickBot="1" x14ac:dyDescent="0.45">
      <c r="A19" s="16"/>
      <c r="B19" s="16" t="s">
        <v>27</v>
      </c>
      <c r="C19" s="16" t="s">
        <v>18</v>
      </c>
      <c r="D19" s="18" t="s">
        <v>34</v>
      </c>
      <c r="E19" s="16">
        <v>1</v>
      </c>
      <c r="F19" s="16"/>
      <c r="G19" s="16" t="str">
        <f t="shared" si="0"/>
        <v>未着手</v>
      </c>
      <c r="I19" s="26" t="s">
        <v>35</v>
      </c>
    </row>
    <row r="20" spans="1:10" x14ac:dyDescent="0.4">
      <c r="A20" s="16"/>
      <c r="B20" s="16" t="s">
        <v>28</v>
      </c>
      <c r="C20" s="16" t="s">
        <v>17</v>
      </c>
      <c r="D20" s="18" t="s">
        <v>34</v>
      </c>
      <c r="E20" s="16">
        <v>1</v>
      </c>
      <c r="F20" s="16"/>
      <c r="G20" s="16" t="str">
        <f t="shared" si="0"/>
        <v>未着手</v>
      </c>
      <c r="I20" s="6" t="s">
        <v>37</v>
      </c>
      <c r="J20" s="7">
        <f>SUMIF($D$4:$D$27,$I19,$E$4:$E$27)</f>
        <v>4</v>
      </c>
    </row>
    <row r="21" spans="1:10" ht="19.5" thickBot="1" x14ac:dyDescent="0.45">
      <c r="A21" s="16"/>
      <c r="B21" s="16" t="s">
        <v>20</v>
      </c>
      <c r="C21" s="16" t="s">
        <v>24</v>
      </c>
      <c r="D21" s="20" t="s">
        <v>35</v>
      </c>
      <c r="E21" s="16">
        <v>1</v>
      </c>
      <c r="F21" s="16"/>
      <c r="G21" s="16" t="str">
        <f t="shared" si="0"/>
        <v>未着手</v>
      </c>
      <c r="I21" s="10" t="s">
        <v>38</v>
      </c>
      <c r="J21" s="11">
        <f>J20-SUMIF($D$4:$D$27,$I19,$F$4:$F$27)</f>
        <v>4</v>
      </c>
    </row>
    <row r="22" spans="1:10" ht="19.5" thickBot="1" x14ac:dyDescent="0.45">
      <c r="A22" s="16" t="s">
        <v>39</v>
      </c>
      <c r="B22" s="16" t="s">
        <v>2</v>
      </c>
      <c r="C22" s="16" t="s">
        <v>17</v>
      </c>
      <c r="D22" s="18" t="s">
        <v>34</v>
      </c>
      <c r="E22" s="16">
        <v>0.5</v>
      </c>
      <c r="F22" s="16">
        <v>0.5</v>
      </c>
      <c r="G22" s="16" t="str">
        <f t="shared" si="0"/>
        <v>完成</v>
      </c>
    </row>
    <row r="23" spans="1:10" ht="19.5" thickBot="1" x14ac:dyDescent="0.45">
      <c r="A23" s="16"/>
      <c r="B23" s="16" t="s">
        <v>11</v>
      </c>
      <c r="C23" s="16" t="s">
        <v>17</v>
      </c>
      <c r="D23" s="18" t="s">
        <v>34</v>
      </c>
      <c r="E23" s="16">
        <v>0.5</v>
      </c>
      <c r="F23" s="16">
        <v>0.5</v>
      </c>
      <c r="G23" s="16" t="str">
        <f t="shared" si="0"/>
        <v>完成</v>
      </c>
      <c r="I23" s="27" t="s">
        <v>48</v>
      </c>
      <c r="J23" s="28">
        <f>DATE(2026,4,13)-DATE(2026,3,17)</f>
        <v>27</v>
      </c>
    </row>
    <row r="24" spans="1:10" ht="19.5" thickBot="1" x14ac:dyDescent="0.45">
      <c r="A24" s="16"/>
      <c r="B24" s="16" t="s">
        <v>40</v>
      </c>
      <c r="C24" s="16" t="s">
        <v>17</v>
      </c>
      <c r="D24" s="18" t="s">
        <v>34</v>
      </c>
      <c r="E24" s="16">
        <v>0.5</v>
      </c>
      <c r="F24" s="16">
        <v>0.5</v>
      </c>
      <c r="G24" s="16" t="str">
        <f t="shared" si="0"/>
        <v>完成</v>
      </c>
      <c r="I24" s="27" t="s">
        <v>47</v>
      </c>
      <c r="J24" s="28">
        <f>J4/J23</f>
        <v>0.85185185185185186</v>
      </c>
    </row>
    <row r="25" spans="1:10" x14ac:dyDescent="0.4">
      <c r="A25" s="16"/>
      <c r="B25" s="16" t="s">
        <v>41</v>
      </c>
      <c r="C25" s="16" t="s">
        <v>17</v>
      </c>
      <c r="D25" s="18" t="s">
        <v>34</v>
      </c>
      <c r="E25" s="16">
        <v>0.5</v>
      </c>
      <c r="F25" s="16"/>
      <c r="G25" s="16" t="str">
        <f t="shared" si="0"/>
        <v>未着手</v>
      </c>
    </row>
    <row r="26" spans="1:10" x14ac:dyDescent="0.4">
      <c r="A26" s="16"/>
      <c r="B26" s="16" t="s">
        <v>42</v>
      </c>
      <c r="C26" s="16" t="s">
        <v>18</v>
      </c>
      <c r="D26" s="18" t="s">
        <v>34</v>
      </c>
      <c r="E26" s="16">
        <v>0.5</v>
      </c>
      <c r="F26" s="16"/>
      <c r="G26" s="16" t="str">
        <f t="shared" si="0"/>
        <v>未着手</v>
      </c>
    </row>
    <row r="27" spans="1:10" ht="19.5" thickBot="1" x14ac:dyDescent="0.45">
      <c r="A27" s="17"/>
      <c r="B27" s="17" t="s">
        <v>20</v>
      </c>
      <c r="C27" s="17" t="s">
        <v>24</v>
      </c>
      <c r="D27" s="21" t="s">
        <v>34</v>
      </c>
      <c r="E27" s="17">
        <v>0.5</v>
      </c>
      <c r="F27" s="17"/>
      <c r="G27" s="17" t="str">
        <f t="shared" si="0"/>
        <v>未着手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3" sqref="B11:B13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2026-03-28T13:30:16Z</dcterms:modified>
</cp:coreProperties>
</file>