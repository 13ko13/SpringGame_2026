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0A024702-128A-4A5E-9463-C7256AE950AF}" xr6:coauthVersionLast="47" xr6:coauthVersionMax="47" xr10:uidLastSave="{00000000-0000-0000-0000-000000000000}"/>
  <bookViews>
    <workbookView xWindow="-120" yWindow="-120" windowWidth="29040" windowHeight="1572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18" i="1"/>
  <c r="J19" i="1" s="1"/>
  <c r="J14" i="1"/>
  <c r="J15" i="1" s="1"/>
  <c r="J10" i="1"/>
  <c r="J11" i="1" s="1"/>
  <c r="G20" i="1"/>
  <c r="G21" i="1"/>
  <c r="G22" i="1"/>
  <c r="G23" i="1"/>
  <c r="G24" i="1"/>
  <c r="G2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4" i="1"/>
  <c r="J22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<sst xmlns="http://schemas.openxmlformats.org/spreadsheetml/2006/main" count="126" uniqueCount="74">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</sst>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458326</xdr:colOff>
      <xdr:row>5</xdr:row>
      <xdr:rowOff>159091</xdr:rowOff>
    </xdr:from>
    <xdr:to>
      <xdr:col>6</xdr:col>
      <xdr:colOff>305572</xdr:colOff>
      <xdr:row>6</xdr:row>
      <xdr:rowOff>197191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791336">
          <a:off x="1141498" y="1341505"/>
          <a:ext cx="326310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205280</xdr:colOff>
      <xdr:row>10</xdr:row>
      <xdr:rowOff>99191</xdr:rowOff>
    </xdr:from>
    <xdr:to>
      <xdr:col>2</xdr:col>
      <xdr:colOff>386255</xdr:colOff>
      <xdr:row>12</xdr:row>
      <xdr:rowOff>192799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205280" y="2464019"/>
          <a:ext cx="1547320" cy="566573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6</xdr:col>
      <xdr:colOff>238123</xdr:colOff>
      <xdr:row>1</xdr:row>
      <xdr:rowOff>180976</xdr:rowOff>
    </xdr:from>
    <xdr:to>
      <xdr:col>6</xdr:col>
      <xdr:colOff>514348</xdr:colOff>
      <xdr:row>11</xdr:row>
      <xdr:rowOff>45983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3360353" y="1394263"/>
          <a:ext cx="2229834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314325</xdr:colOff>
      <xdr:row>11</xdr:row>
      <xdr:rowOff>133350</xdr:rowOff>
    </xdr:from>
    <xdr:to>
      <xdr:col>7</xdr:col>
      <xdr:colOff>495300</xdr:colOff>
      <xdr:row>13</xdr:row>
      <xdr:rowOff>228600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3743325" y="2752725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6</xdr:col>
      <xdr:colOff>634292</xdr:colOff>
      <xdr:row>3</xdr:row>
      <xdr:rowOff>112454</xdr:rowOff>
    </xdr:from>
    <xdr:to>
      <xdr:col>10</xdr:col>
      <xdr:colOff>548467</xdr:colOff>
      <xdr:row>4</xdr:row>
      <xdr:rowOff>150554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1808490">
          <a:off x="4749092" y="826829"/>
          <a:ext cx="265737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361951</xdr:colOff>
      <xdr:row>7</xdr:row>
      <xdr:rowOff>28575</xdr:rowOff>
    </xdr:from>
    <xdr:to>
      <xdr:col>12</xdr:col>
      <xdr:colOff>542926</xdr:colOff>
      <xdr:row>9</xdr:row>
      <xdr:rowOff>123825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7219951" y="16954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5</xdr:col>
      <xdr:colOff>323850</xdr:colOff>
      <xdr:row>0</xdr:row>
      <xdr:rowOff>133350</xdr:rowOff>
    </xdr:from>
    <xdr:to>
      <xdr:col>7</xdr:col>
      <xdr:colOff>504825</xdr:colOff>
      <xdr:row>2</xdr:row>
      <xdr:rowOff>228600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3752850" y="1333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4</xdr:col>
      <xdr:colOff>649178</xdr:colOff>
      <xdr:row>3</xdr:row>
      <xdr:rowOff>106417</xdr:rowOff>
    </xdr:from>
    <xdr:to>
      <xdr:col>5</xdr:col>
      <xdr:colOff>520591</xdr:colOff>
      <xdr:row>4</xdr:row>
      <xdr:rowOff>154042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3381868" y="815865"/>
          <a:ext cx="554585" cy="2841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71437</xdr:colOff>
      <xdr:row>3</xdr:row>
      <xdr:rowOff>228600</xdr:rowOff>
    </xdr:from>
    <xdr:to>
      <xdr:col>6</xdr:col>
      <xdr:colOff>628650</xdr:colOff>
      <xdr:row>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4186237" y="942975"/>
          <a:ext cx="55721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8</xdr:col>
      <xdr:colOff>114793</xdr:colOff>
      <xdr:row>2</xdr:row>
      <xdr:rowOff>213162</xdr:rowOff>
    </xdr:from>
    <xdr:to>
      <xdr:col>8</xdr:col>
      <xdr:colOff>669378</xdr:colOff>
      <xdr:row>4</xdr:row>
      <xdr:rowOff>22663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5580172" y="686128"/>
          <a:ext cx="554585" cy="2824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2</xdr:col>
      <xdr:colOff>358836</xdr:colOff>
      <xdr:row>12</xdr:row>
      <xdr:rowOff>85583</xdr:rowOff>
    </xdr:from>
    <xdr:to>
      <xdr:col>4</xdr:col>
      <xdr:colOff>841</xdr:colOff>
      <xdr:row>13</xdr:row>
      <xdr:rowOff>123683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13268339">
          <a:off x="1725181" y="2923376"/>
          <a:ext cx="1008350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624507</xdr:colOff>
      <xdr:row>12</xdr:row>
      <xdr:rowOff>185173</xdr:rowOff>
    </xdr:from>
    <xdr:to>
      <xdr:col>5</xdr:col>
      <xdr:colOff>360514</xdr:colOff>
      <xdr:row>13</xdr:row>
      <xdr:rowOff>224915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9570956">
          <a:off x="2674024" y="3022966"/>
          <a:ext cx="110235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285421</xdr:colOff>
      <xdr:row>13</xdr:row>
      <xdr:rowOff>209551</xdr:rowOff>
    </xdr:from>
    <xdr:to>
      <xdr:col>5</xdr:col>
      <xdr:colOff>228271</xdr:colOff>
      <xdr:row>16</xdr:row>
      <xdr:rowOff>190501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1651766" y="3283827"/>
          <a:ext cx="1992367" cy="69039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Collision</a:t>
          </a:r>
        </a:p>
        <a:p>
          <a:pPr algn="ctr"/>
          <a:r>
            <a:rPr kumimoji="1" lang="en-US" altLang="ja-JP" sz="1800"/>
            <a:t>Manager</a:t>
          </a:r>
        </a:p>
      </xdr:txBody>
    </xdr:sp>
    <xdr:clientData/>
  </xdr:twoCellAnchor>
  <xdr:twoCellAnchor>
    <xdr:from>
      <xdr:col>4</xdr:col>
      <xdr:colOff>360099</xdr:colOff>
      <xdr:row>12</xdr:row>
      <xdr:rowOff>135525</xdr:rowOff>
    </xdr:from>
    <xdr:to>
      <xdr:col>5</xdr:col>
      <xdr:colOff>157654</xdr:colOff>
      <xdr:row>13</xdr:row>
      <xdr:rowOff>124810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3092789" y="297331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2</xdr:col>
      <xdr:colOff>532206</xdr:colOff>
      <xdr:row>12</xdr:row>
      <xdr:rowOff>58012</xdr:rowOff>
    </xdr:from>
    <xdr:to>
      <xdr:col>3</xdr:col>
      <xdr:colOff>329761</xdr:colOff>
      <xdr:row>13</xdr:row>
      <xdr:rowOff>47297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1898551" y="2895805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7</xdr:col>
      <xdr:colOff>211417</xdr:colOff>
      <xdr:row>7</xdr:row>
      <xdr:rowOff>157256</xdr:rowOff>
    </xdr:from>
    <xdr:to>
      <xdr:col>7</xdr:col>
      <xdr:colOff>487642</xdr:colOff>
      <xdr:row>11</xdr:row>
      <xdr:rowOff>115057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6869262">
          <a:off x="4679871" y="2126388"/>
          <a:ext cx="90373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144637</xdr:colOff>
      <xdr:row>9</xdr:row>
      <xdr:rowOff>18597</xdr:rowOff>
    </xdr:from>
    <xdr:to>
      <xdr:col>7</xdr:col>
      <xdr:colOff>625364</xdr:colOff>
      <xdr:row>10</xdr:row>
      <xdr:rowOff>7882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4926844" y="2146942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7</xdr:col>
      <xdr:colOff>142218</xdr:colOff>
      <xdr:row>6</xdr:row>
      <xdr:rowOff>32844</xdr:rowOff>
    </xdr:from>
    <xdr:to>
      <xdr:col>9</xdr:col>
      <xdr:colOff>320565</xdr:colOff>
      <xdr:row>8</xdr:row>
      <xdr:rowOff>128094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4924425" y="1451741"/>
          <a:ext cx="1544692" cy="56821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</xdr:col>
      <xdr:colOff>79853</xdr:colOff>
      <xdr:row>5</xdr:row>
      <xdr:rowOff>93327</xdr:rowOff>
    </xdr:from>
    <xdr:to>
      <xdr:col>1</xdr:col>
      <xdr:colOff>354436</xdr:colOff>
      <xdr:row>10</xdr:row>
      <xdr:rowOff>58581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326483" y="1712283"/>
          <a:ext cx="114766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502525</xdr:colOff>
      <xdr:row>3</xdr:row>
      <xdr:rowOff>75543</xdr:rowOff>
    </xdr:from>
    <xdr:to>
      <xdr:col>3</xdr:col>
      <xdr:colOff>328</xdr:colOff>
      <xdr:row>5</xdr:row>
      <xdr:rowOff>170793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502525" y="784991"/>
          <a:ext cx="1547320" cy="568216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  <xdr:twoCellAnchor>
    <xdr:from>
      <xdr:col>1</xdr:col>
      <xdr:colOff>14572</xdr:colOff>
      <xdr:row>6</xdr:row>
      <xdr:rowOff>210411</xdr:rowOff>
    </xdr:from>
    <xdr:to>
      <xdr:col>1</xdr:col>
      <xdr:colOff>495299</xdr:colOff>
      <xdr:row>7</xdr:row>
      <xdr:rowOff>199697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697744" y="162930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5" totalsRowShown="0" headerRowDxfId="10" headerRowBorderDxfId="9" tableBorderDxfId="8" totalsRowBorderDxfId="7">
  <autoFilter ref="A3:G25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5"/>
  <sheetViews>
    <sheetView tabSelected="1" workbookViewId="0">
      <selection activeCell="I10" sqref="I10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SUM(E4:E25)</f>
        <v>21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/>
      <c r="G5" s="16" t="str">
        <f t="shared" ref="G5:G25" si="0">IF(E5=F5,"完成",IF(F5="作業中","作業中","未着手"))</f>
        <v>未着手</v>
      </c>
      <c r="I5" s="8" t="s">
        <v>30</v>
      </c>
      <c r="J5" s="9">
        <f>J4*3</f>
        <v>63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J4-SUM(F4:F25)</f>
        <v>15.5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73</v>
      </c>
      <c r="J10" s="7">
        <f>SUMIF($D$4:$D$25,$I9,$E$4:$E$25)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J10-SUMIF($D$4:$D$25,$I9,$F$4:$F$25)</f>
        <v>4.5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SUMIF($D$4:$D$25,$I13,$E$4:$E$25)</f>
        <v>7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J14-SUMIF($D$4:$D$25,$I13,$F$4:$F$25)</f>
        <v>7</v>
      </c>
    </row>
    <row r="16" spans="1:10" ht="19.5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/>
      <c r="G16" s="16" t="str">
        <f t="shared" si="0"/>
        <v>未着手</v>
      </c>
    </row>
    <row r="17" spans="1:10" ht="19.5" thickBot="1" x14ac:dyDescent="0.45">
      <c r="A17" s="16"/>
      <c r="B17" s="16" t="s">
        <v>27</v>
      </c>
      <c r="C17" s="16" t="s">
        <v>18</v>
      </c>
      <c r="D17" s="18" t="s">
        <v>34</v>
      </c>
      <c r="E17" s="16">
        <v>1</v>
      </c>
      <c r="F17" s="16"/>
      <c r="G17" s="16" t="str">
        <f t="shared" si="0"/>
        <v>未着手</v>
      </c>
      <c r="I17" s="26" t="s">
        <v>35</v>
      </c>
    </row>
    <row r="18" spans="1:10" x14ac:dyDescent="0.4">
      <c r="A18" s="16"/>
      <c r="B18" s="16" t="s">
        <v>28</v>
      </c>
      <c r="C18" s="16" t="s">
        <v>17</v>
      </c>
      <c r="D18" s="18" t="s">
        <v>34</v>
      </c>
      <c r="E18" s="16">
        <v>1</v>
      </c>
      <c r="F18" s="16"/>
      <c r="G18" s="16" t="str">
        <f t="shared" si="0"/>
        <v>未着手</v>
      </c>
      <c r="I18" s="6" t="s">
        <v>37</v>
      </c>
      <c r="J18" s="7">
        <f>SUMIF($D$4:$D$25,$I17,$E$4:$E$25)</f>
        <v>4</v>
      </c>
    </row>
    <row r="19" spans="1:10" ht="19.5" thickBot="1" x14ac:dyDescent="0.45">
      <c r="A19" s="16"/>
      <c r="B19" s="16" t="s">
        <v>20</v>
      </c>
      <c r="C19" s="16" t="s">
        <v>24</v>
      </c>
      <c r="D19" s="20" t="s">
        <v>35</v>
      </c>
      <c r="E19" s="16">
        <v>1</v>
      </c>
      <c r="F19" s="16"/>
      <c r="G19" s="16" t="str">
        <f t="shared" si="0"/>
        <v>未着手</v>
      </c>
      <c r="I19" s="10" t="s">
        <v>38</v>
      </c>
      <c r="J19" s="11">
        <f>J18-SUMIF($D$4:$D$25,$I17,$F$4:$F$25)</f>
        <v>4</v>
      </c>
    </row>
    <row r="20" spans="1:10" ht="19.5" thickBot="1" x14ac:dyDescent="0.45">
      <c r="A20" s="16" t="s">
        <v>39</v>
      </c>
      <c r="B20" s="16" t="s">
        <v>2</v>
      </c>
      <c r="C20" s="16" t="s">
        <v>17</v>
      </c>
      <c r="D20" s="18" t="s">
        <v>34</v>
      </c>
      <c r="E20" s="16">
        <v>0.5</v>
      </c>
      <c r="F20" s="16"/>
      <c r="G20" s="16" t="str">
        <f t="shared" si="0"/>
        <v>未着手</v>
      </c>
    </row>
    <row r="21" spans="1:10" ht="19.5" thickBot="1" x14ac:dyDescent="0.45">
      <c r="A21" s="16"/>
      <c r="B21" s="16" t="s">
        <v>11</v>
      </c>
      <c r="C21" s="16" t="s">
        <v>17</v>
      </c>
      <c r="D21" s="18" t="s">
        <v>34</v>
      </c>
      <c r="E21" s="16">
        <v>0.5</v>
      </c>
      <c r="F21" s="16"/>
      <c r="G21" s="16" t="str">
        <f t="shared" si="0"/>
        <v>未着手</v>
      </c>
      <c r="I21" s="27" t="s">
        <v>48</v>
      </c>
      <c r="J21" s="28">
        <f>DATE(2026,4,13)-DATE(2026,3,17)</f>
        <v>27</v>
      </c>
    </row>
    <row r="22" spans="1:10" ht="19.5" thickBot="1" x14ac:dyDescent="0.45">
      <c r="A22" s="16"/>
      <c r="B22" s="16" t="s">
        <v>40</v>
      </c>
      <c r="C22" s="16" t="s">
        <v>17</v>
      </c>
      <c r="D22" s="18" t="s">
        <v>34</v>
      </c>
      <c r="E22" s="16">
        <v>0.5</v>
      </c>
      <c r="F22" s="16"/>
      <c r="G22" s="16" t="str">
        <f t="shared" si="0"/>
        <v>未着手</v>
      </c>
      <c r="I22" s="27" t="s">
        <v>47</v>
      </c>
      <c r="J22" s="28">
        <f>J4/J21</f>
        <v>0.77777777777777779</v>
      </c>
    </row>
    <row r="23" spans="1:10" x14ac:dyDescent="0.4">
      <c r="A23" s="16"/>
      <c r="B23" s="16" t="s">
        <v>41</v>
      </c>
      <c r="C23" s="16" t="s">
        <v>17</v>
      </c>
      <c r="D23" s="18" t="s">
        <v>34</v>
      </c>
      <c r="E23" s="16">
        <v>0.5</v>
      </c>
      <c r="F23" s="16"/>
      <c r="G23" s="16" t="str">
        <f t="shared" si="0"/>
        <v>未着手</v>
      </c>
    </row>
    <row r="24" spans="1:10" x14ac:dyDescent="0.4">
      <c r="A24" s="16"/>
      <c r="B24" s="16" t="s">
        <v>42</v>
      </c>
      <c r="C24" s="16" t="s">
        <v>18</v>
      </c>
      <c r="D24" s="18" t="s">
        <v>34</v>
      </c>
      <c r="E24" s="16">
        <v>0.5</v>
      </c>
      <c r="F24" s="16"/>
      <c r="G24" s="16" t="str">
        <f t="shared" si="0"/>
        <v>未着手</v>
      </c>
    </row>
    <row r="25" spans="1:10" ht="19.5" thickBot="1" x14ac:dyDescent="0.45">
      <c r="A25" s="17"/>
      <c r="B25" s="17" t="s">
        <v>20</v>
      </c>
      <c r="C25" s="17" t="s">
        <v>24</v>
      </c>
      <c r="D25" s="21" t="s">
        <v>34</v>
      </c>
      <c r="E25" s="17">
        <v>0.5</v>
      </c>
      <c r="F25" s="17"/>
      <c r="G25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B30" sqref="B30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2">
        <f>G7+1</f>
        <v>29</v>
      </c>
      <c r="B8" s="2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A1"/>
  <sheetViews>
    <sheetView zoomScale="145" zoomScaleNormal="145" workbookViewId="0">
      <selection activeCell="K17" sqref="K17"/>
    </sheetView>
  </sheetViews>
  <sheetFormatPr defaultRowHeight="18.75" x14ac:dyDescent="0.4"/>
  <sheetData/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9"/>
  <sheetViews>
    <sheetView workbookViewId="0">
      <selection activeCell="D7" sqref="D7"/>
    </sheetView>
  </sheetViews>
  <sheetFormatPr defaultRowHeight="18.75" x14ac:dyDescent="0.4"/>
  <cols>
    <col min="1" max="1" width="13.875" bestFit="1" customWidth="1"/>
    <col min="2" max="2" width="56.2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2026-03-25T10:56:31Z</dcterms:modified>
</cp:coreProperties>
</file>